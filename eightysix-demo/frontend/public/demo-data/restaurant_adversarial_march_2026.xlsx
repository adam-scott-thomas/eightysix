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Sales" sheetId="1" state="visible" r:id="rId3"/>
    <sheet name="Labor Data" sheetId="2" state="visible" r:id="rId4"/>
    <sheet name="Refund Logs" sheetId="3" state="visible" r:id="rId5"/>
    <sheet name="Menu Mix" sheetId="4" state="visible" r:id="rId6"/>
    <sheet name="Time Card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<sst xmlns="http://schemas.openxmlformats.org/spreadsheetml/2006/main" count="2055" uniqueCount="392">
  <si>
    <t xml:space="preserve">Date</t>
  </si>
  <si>
    <t xml:space="preserve">Day</t>
  </si>
  <si>
    <t xml:space="preserve">Dine-In Sales</t>
  </si>
  <si>
    <t xml:space="preserve">Takeout Sales</t>
  </si>
  <si>
    <t xml:space="preserve">Delivery Sales</t>
  </si>
  <si>
    <t xml:space="preserve">Catering Sales</t>
  </si>
  <si>
    <t xml:space="preserve">Gross Sales</t>
  </si>
  <si>
    <t xml:space="preserve">Discounts</t>
  </si>
  <si>
    <t xml:space="preserve">Net Sales</t>
  </si>
  <si>
    <t xml:space="preserve">Tax Collected</t>
  </si>
  <si>
    <t xml:space="preserve">Total Revenue</t>
  </si>
  <si>
    <t xml:space="preserve">Covers</t>
  </si>
  <si>
    <t xml:space="preserve">Avg Check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</si>
  <si>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</si>
  <si>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</si>
  <si>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</si>
  <si>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</si>
  <si>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</si>
  <si>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</si>
  <si>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</si>
  <si>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TOTALS</t>
  </si>
  <si>
    <t xml:space="preserve">FOH Hours</t>
  </si>
  <si>
    <t xml:space="preserve">BOH Hours</t>
  </si>
  <si>
    <t xml:space="preserve">Total Hours</t>
  </si>
  <si>
    <t xml:space="preserve">FOH Labor $</t>
  </si>
  <si>
    <t xml:space="preserve">BOH Labor $</t>
  </si>
  <si>
    <t xml:space="preserve">Total Labor $</t>
  </si>
  <si>
    <t xml:space="preserve">Labor Cost %</t>
  </si>
  <si>
    <t xml:space="preserve">Overtime Hours</t>
  </si>
  <si>
    <t xml:space="preserve">OT Cost</t>
  </si>
  <si>
    <t xml:space="preserve">Refund #</t>
  </si>
  <si>
    <t xml:space="preserve">Time</t>
  </si>
  <si>
    <t xml:space="preserve">Server</t>
  </si>
  <si>
    <t xml:space="preserve">Table/Order #</t>
  </si>
  <si>
    <t xml:space="preserve">Item(s)</t>
  </si>
  <si>
    <t xml:space="preserve">Reason</t>
  </si>
  <si>
    <t xml:space="preserve">Refund Amount</t>
  </si>
  <si>
    <t xml:space="preserve">Manager Approved</t>
  </si>
  <si>
    <t xml:space="preserve">Comp or Void</t>
  </si>
  <si>
    <t xml:space="preserve">RF-0001</t>
  </si>
  <si>
    <t xml:space="preserve">15:15</t>
  </si>
  <si>
    <t xml:space="preserve">Carlos R.</t>
  </si>
  <si>
    <t xml:space="preserve">T-1</t>
  </si>
  <si>
    <t xml:space="preserve">Grilled Salmon</t>
  </si>
  <si>
    <t xml:space="preserve">Wrong table</t>
  </si>
  <si>
    <t xml:space="preserve">Mike D.</t>
  </si>
  <si>
    <t xml:space="preserve">Comp</t>
  </si>
  <si>
    <t xml:space="preserve">RF-0002</t>
  </si>
  <si>
    <t xml:space="preserve">21:45</t>
  </si>
  <si>
    <t xml:space="preserve">Devon P.</t>
  </si>
  <si>
    <t xml:space="preserve">T-7</t>
  </si>
  <si>
    <t xml:space="preserve">Dessert Sampler</t>
  </si>
  <si>
    <t xml:space="preserve">Customer complaint</t>
  </si>
  <si>
    <t xml:space="preserve">RF-0003</t>
  </si>
  <si>
    <t xml:space="preserve">17:00</t>
  </si>
  <si>
    <t xml:space="preserve">Maria S.</t>
  </si>
  <si>
    <t xml:space="preserve">T-27</t>
  </si>
  <si>
    <t xml:space="preserve">House Wine</t>
  </si>
  <si>
    <t xml:space="preserve">Long wait</t>
  </si>
  <si>
    <t xml:space="preserve">Void</t>
  </si>
  <si>
    <t xml:space="preserve">RF-0004</t>
  </si>
  <si>
    <t xml:space="preserve">13:45</t>
  </si>
  <si>
    <t xml:space="preserve">Keisha W.</t>
  </si>
  <si>
    <t xml:space="preserve">T-2</t>
  </si>
  <si>
    <t xml:space="preserve">Caesar Salad</t>
  </si>
  <si>
    <t xml:space="preserve">RF-0005</t>
  </si>
  <si>
    <t xml:space="preserve">15:30</t>
  </si>
  <si>
    <t xml:space="preserve">Lisa K.</t>
  </si>
  <si>
    <t xml:space="preserve">T-15</t>
  </si>
  <si>
    <t xml:space="preserve">Chicken Parm</t>
  </si>
  <si>
    <t xml:space="preserve">Robert J.</t>
  </si>
  <si>
    <t xml:space="preserve">RF-0006</t>
  </si>
  <si>
    <t xml:space="preserve">16:30</t>
  </si>
  <si>
    <t xml:space="preserve">T-8</t>
  </si>
  <si>
    <t xml:space="preserve">Ribeye Steak</t>
  </si>
  <si>
    <t xml:space="preserve">Customer changed mind</t>
  </si>
  <si>
    <t xml:space="preserve">RF-0007</t>
  </si>
  <si>
    <t xml:space="preserve">21:00</t>
  </si>
  <si>
    <t xml:space="preserve">James T.</t>
  </si>
  <si>
    <t xml:space="preserve">T-11</t>
  </si>
  <si>
    <t xml:space="preserve">Margarita</t>
  </si>
  <si>
    <t xml:space="preserve">Sarah L.</t>
  </si>
  <si>
    <t xml:space="preserve">RF-0008</t>
  </si>
  <si>
    <t xml:space="preserve">TO-285</t>
  </si>
  <si>
    <t xml:space="preserve">RF-0009</t>
  </si>
  <si>
    <t xml:space="preserve">15:45</t>
  </si>
  <si>
    <t xml:space="preserve">TO-384</t>
  </si>
  <si>
    <t xml:space="preserve">Missing item</t>
  </si>
  <si>
    <t xml:space="preserve">RF-0010</t>
  </si>
  <si>
    <t xml:space="preserve">TO-212</t>
  </si>
  <si>
    <t xml:space="preserve">Cold food</t>
  </si>
  <si>
    <t xml:space="preserve">RF-0011</t>
  </si>
  <si>
    <t xml:space="preserve">15:00</t>
  </si>
  <si>
    <t xml:space="preserve">T-10</t>
  </si>
  <si>
    <t xml:space="preserve">Customer left</t>
  </si>
  <si>
    <t xml:space="preserve">RF-0012</t>
  </si>
  <si>
    <t xml:space="preserve">RF-0013</t>
  </si>
  <si>
    <t xml:space="preserve">18:15</t>
  </si>
  <si>
    <t xml:space="preserve">TO-428</t>
  </si>
  <si>
    <t xml:space="preserve">Incorrect charge</t>
  </si>
  <si>
    <t xml:space="preserve">RF-0014</t>
  </si>
  <si>
    <t xml:space="preserve">18:30</t>
  </si>
  <si>
    <t xml:space="preserve">T-3</t>
  </si>
  <si>
    <t xml:space="preserve">Draft Beer</t>
  </si>
  <si>
    <t xml:space="preserve">RF-0015</t>
  </si>
  <si>
    <t xml:space="preserve">19:30</t>
  </si>
  <si>
    <t xml:space="preserve">Spilled drink</t>
  </si>
  <si>
    <t xml:space="preserve">RF-0016</t>
  </si>
  <si>
    <t xml:space="preserve">20:00</t>
  </si>
  <si>
    <t xml:space="preserve">Wrong order</t>
  </si>
  <si>
    <t xml:space="preserve">RF-0017</t>
  </si>
  <si>
    <t xml:space="preserve">Tanya M.</t>
  </si>
  <si>
    <t xml:space="preserve">TO-310</t>
  </si>
  <si>
    <t xml:space="preserve">RF-0018</t>
  </si>
  <si>
    <t xml:space="preserve">T-17</t>
  </si>
  <si>
    <t xml:space="preserve">RF-0019</t>
  </si>
  <si>
    <t xml:space="preserve">14:00</t>
  </si>
  <si>
    <t xml:space="preserve">T-26</t>
  </si>
  <si>
    <t xml:space="preserve">Wings Platter</t>
  </si>
  <si>
    <t xml:space="preserve">RF-0020</t>
  </si>
  <si>
    <t xml:space="preserve">Shrimp Tacos</t>
  </si>
  <si>
    <t xml:space="preserve">RF-0021</t>
  </si>
  <si>
    <t xml:space="preserve">14:15</t>
  </si>
  <si>
    <t xml:space="preserve">T-4</t>
  </si>
  <si>
    <t xml:space="preserve">RF-0022</t>
  </si>
  <si>
    <t xml:space="preserve">TO-306</t>
  </si>
  <si>
    <t xml:space="preserve">RF-0023</t>
  </si>
  <si>
    <t xml:space="preserve">T-18</t>
  </si>
  <si>
    <t xml:space="preserve">RF-0024</t>
  </si>
  <si>
    <t xml:space="preserve">21:30</t>
  </si>
  <si>
    <t xml:space="preserve">RF-0025</t>
  </si>
  <si>
    <t xml:space="preserve">22:45</t>
  </si>
  <si>
    <t xml:space="preserve">T-28</t>
  </si>
  <si>
    <t xml:space="preserve">RF-0026</t>
  </si>
  <si>
    <t xml:space="preserve">RF-0027</t>
  </si>
  <si>
    <t xml:space="preserve">17:45</t>
  </si>
  <si>
    <t xml:space="preserve">T-30</t>
  </si>
  <si>
    <t xml:space="preserve">RF-0028</t>
  </si>
  <si>
    <t xml:space="preserve">18:45</t>
  </si>
  <si>
    <t xml:space="preserve">TO-489</t>
  </si>
  <si>
    <t xml:space="preserve">RF-0029</t>
  </si>
  <si>
    <t xml:space="preserve">19:15</t>
  </si>
  <si>
    <t xml:space="preserve">T-14</t>
  </si>
  <si>
    <t xml:space="preserve">Brownie Sundae</t>
  </si>
  <si>
    <t xml:space="preserve">RF-0030</t>
  </si>
  <si>
    <t xml:space="preserve">20:15</t>
  </si>
  <si>
    <t xml:space="preserve">RF-0031</t>
  </si>
  <si>
    <t xml:space="preserve">13:30</t>
  </si>
  <si>
    <t xml:space="preserve">T-24</t>
  </si>
  <si>
    <t xml:space="preserve">Pasta Primavera</t>
  </si>
  <si>
    <t xml:space="preserve">RF-0032</t>
  </si>
  <si>
    <t xml:space="preserve">T-29</t>
  </si>
  <si>
    <t xml:space="preserve">RF-0033</t>
  </si>
  <si>
    <t xml:space="preserve">TO-471</t>
  </si>
  <si>
    <t xml:space="preserve">RF-0034</t>
  </si>
  <si>
    <t xml:space="preserve">RF-0035</t>
  </si>
  <si>
    <t xml:space="preserve">22:30</t>
  </si>
  <si>
    <t xml:space="preserve">RF-0036</t>
  </si>
  <si>
    <t xml:space="preserve">Burger Deluxe</t>
  </si>
  <si>
    <t xml:space="preserve">RF-0037</t>
  </si>
  <si>
    <t xml:space="preserve">12:45</t>
  </si>
  <si>
    <t xml:space="preserve">TO-294</t>
  </si>
  <si>
    <t xml:space="preserve">Fish &amp; Chips</t>
  </si>
  <si>
    <t xml:space="preserve">RF-0038</t>
  </si>
  <si>
    <t xml:space="preserve">T-5</t>
  </si>
  <si>
    <t xml:space="preserve">RF-0039</t>
  </si>
  <si>
    <t xml:space="preserve">16:15</t>
  </si>
  <si>
    <t xml:space="preserve">TO-304</t>
  </si>
  <si>
    <t xml:space="preserve">RF-0040</t>
  </si>
  <si>
    <t xml:space="preserve">14:45</t>
  </si>
  <si>
    <t xml:space="preserve">Soft Drink</t>
  </si>
  <si>
    <t xml:space="preserve">RF-0041</t>
  </si>
  <si>
    <t xml:space="preserve">T-16</t>
  </si>
  <si>
    <t xml:space="preserve">Soup of Day</t>
  </si>
  <si>
    <t xml:space="preserve">RF-0042</t>
  </si>
  <si>
    <t xml:space="preserve">12:30</t>
  </si>
  <si>
    <t xml:space="preserve">RF-0043</t>
  </si>
  <si>
    <t xml:space="preserve">13:00</t>
  </si>
  <si>
    <t xml:space="preserve">RF-0044</t>
  </si>
  <si>
    <t xml:space="preserve">17:15</t>
  </si>
  <si>
    <t xml:space="preserve">RF-0045</t>
  </si>
  <si>
    <t xml:space="preserve">RF-0046</t>
  </si>
  <si>
    <t xml:space="preserve">RF-0047</t>
  </si>
  <si>
    <t xml:space="preserve">RF-0048</t>
  </si>
  <si>
    <t xml:space="preserve">22:00</t>
  </si>
  <si>
    <t xml:space="preserve">T-6</t>
  </si>
  <si>
    <t xml:space="preserve">RF-0049</t>
  </si>
  <si>
    <t xml:space="preserve">16:45</t>
  </si>
  <si>
    <t xml:space="preserve">TO-334</t>
  </si>
  <si>
    <t xml:space="preserve">RF-0050</t>
  </si>
  <si>
    <t xml:space="preserve">TO-254</t>
  </si>
  <si>
    <t xml:space="preserve">RF-0051</t>
  </si>
  <si>
    <t xml:space="preserve">14:30</t>
  </si>
  <si>
    <t xml:space="preserve">TO-102</t>
  </si>
  <si>
    <t xml:space="preserve">RF-0052</t>
  </si>
  <si>
    <t xml:space="preserve">RF-0053</t>
  </si>
  <si>
    <t xml:space="preserve">22:15</t>
  </si>
  <si>
    <t xml:space="preserve">TO-346</t>
  </si>
  <si>
    <t xml:space="preserve">Lobster Roll</t>
  </si>
  <si>
    <t xml:space="preserve">RF-0054</t>
  </si>
  <si>
    <t xml:space="preserve">TO-392</t>
  </si>
  <si>
    <t xml:space="preserve">RF-0055</t>
  </si>
  <si>
    <t xml:space="preserve">TO-227</t>
  </si>
  <si>
    <t xml:space="preserve">RF-0056</t>
  </si>
  <si>
    <t xml:space="preserve">20:30</t>
  </si>
  <si>
    <t xml:space="preserve">RF-0057</t>
  </si>
  <si>
    <t xml:space="preserve">T-13</t>
  </si>
  <si>
    <t xml:space="preserve">TOTAL REFUNDS</t>
  </si>
  <si>
    <t xml:space="preserve">REFUND SUMMARY BY SERVER</t>
  </si>
  <si>
    <t xml:space="preserve">Count</t>
  </si>
  <si>
    <t xml:space="preserve">Total $</t>
  </si>
  <si>
    <t xml:space="preserve">Avg $</t>
  </si>
  <si>
    <t xml:space="preserve">Void %</t>
  </si>
  <si>
    <t xml:space="preserve">Category</t>
  </si>
  <si>
    <t xml:space="preserve">Menu Item</t>
  </si>
  <si>
    <t xml:space="preserve">Price</t>
  </si>
  <si>
    <t xml:space="preserve">Food Cost</t>
  </si>
  <si>
    <t xml:space="preserve">Cost %</t>
  </si>
  <si>
    <t xml:space="preserve">Units Sold</t>
  </si>
  <si>
    <t xml:space="preserve">Gross Revenue</t>
  </si>
  <si>
    <t xml:space="preserve">Food Cost Total</t>
  </si>
  <si>
    <t xml:space="preserve">Profit</t>
  </si>
  <si>
    <t xml:space="preserve">Profit Margin</t>
  </si>
  <si>
    <t xml:space="preserve">Appetizers</t>
  </si>
  <si>
    <t xml:space="preserve">Bruschetta</t>
  </si>
  <si>
    <t xml:space="preserve">Calamari</t>
  </si>
  <si>
    <t xml:space="preserve">Entrees</t>
  </si>
  <si>
    <t xml:space="preserve">Sides</t>
  </si>
  <si>
    <t xml:space="preserve">House Salad</t>
  </si>
  <si>
    <t xml:space="preserve">Fries</t>
  </si>
  <si>
    <t xml:space="preserve">Mac &amp; Cheese</t>
  </si>
  <si>
    <t xml:space="preserve">Desserts</t>
  </si>
  <si>
    <t xml:space="preserve">Cheesecake</t>
  </si>
  <si>
    <t xml:space="preserve">Beverages</t>
  </si>
  <si>
    <t xml:space="preserve">Coffee</t>
  </si>
  <si>
    <t xml:space="preserve">Employee ID</t>
  </si>
  <si>
    <t xml:space="preserve">Employee Name</t>
  </si>
  <si>
    <t xml:space="preserve">Role</t>
  </si>
  <si>
    <t xml:space="preserve">Clock In</t>
  </si>
  <si>
    <t xml:space="preserve">Clock Out</t>
  </si>
  <si>
    <t xml:space="preserve">Scheduled Hrs</t>
  </si>
  <si>
    <t xml:space="preserve">Actual Hrs</t>
  </si>
  <si>
    <t xml:space="preserve">Overtime Hrs</t>
  </si>
  <si>
    <t xml:space="preserve">Hourly Rate</t>
  </si>
  <si>
    <t xml:space="preserve">Regular Pay</t>
  </si>
  <si>
    <t xml:space="preserve">OT Pay</t>
  </si>
  <si>
    <t xml:space="preserve">Total Pay</t>
  </si>
  <si>
    <t xml:space="preserve">E001</t>
  </si>
  <si>
    <t xml:space="preserve">Maria Sanchez</t>
  </si>
  <si>
    <t xml:space="preserve">22:54</t>
  </si>
  <si>
    <t xml:space="preserve">25:05</t>
  </si>
  <si>
    <t xml:space="preserve">17:30</t>
  </si>
  <si>
    <t xml:space="preserve">23:24</t>
  </si>
  <si>
    <t xml:space="preserve">16:00</t>
  </si>
  <si>
    <t xml:space="preserve">22:42</t>
  </si>
  <si>
    <t xml:space="preserve">10:30</t>
  </si>
  <si>
    <t xml:space="preserve">19:24</t>
  </si>
  <si>
    <t xml:space="preserve">22:12</t>
  </si>
  <si>
    <t xml:space="preserve">24:00</t>
  </si>
  <si>
    <t xml:space="preserve">22:47</t>
  </si>
  <si>
    <t xml:space="preserve">11:15</t>
  </si>
  <si>
    <t xml:space="preserve">18:42</t>
  </si>
  <si>
    <t xml:space="preserve">23:54</t>
  </si>
  <si>
    <t xml:space="preserve">10:15</t>
  </si>
  <si>
    <t xml:space="preserve">18:11</t>
  </si>
  <si>
    <t xml:space="preserve">11:00</t>
  </si>
  <si>
    <t xml:space="preserve">18:12</t>
  </si>
  <si>
    <t xml:space="preserve">23:12</t>
  </si>
  <si>
    <t xml:space="preserve">16:54</t>
  </si>
  <si>
    <t xml:space="preserve">18:35</t>
  </si>
  <si>
    <t xml:space="preserve">17:24</t>
  </si>
  <si>
    <t xml:space="preserve">10:00</t>
  </si>
  <si>
    <t xml:space="preserve">17:47</t>
  </si>
  <si>
    <t xml:space="preserve">24:24</t>
  </si>
  <si>
    <t xml:space="preserve">17:54</t>
  </si>
  <si>
    <t xml:space="preserve">E002</t>
  </si>
  <si>
    <t xml:space="preserve">James Thompson</t>
  </si>
  <si>
    <t xml:space="preserve">21:35</t>
  </si>
  <si>
    <t xml:space="preserve">16:42</t>
  </si>
  <si>
    <t xml:space="preserve">11:30</t>
  </si>
  <si>
    <t xml:space="preserve">19:18</t>
  </si>
  <si>
    <t xml:space="preserve">24:05</t>
  </si>
  <si>
    <t xml:space="preserve">19:35</t>
  </si>
  <si>
    <t xml:space="preserve">22:35</t>
  </si>
  <si>
    <t xml:space="preserve">17:42</t>
  </si>
  <si>
    <t xml:space="preserve">21:54</t>
  </si>
  <si>
    <t xml:space="preserve">18:41</t>
  </si>
  <si>
    <t xml:space="preserve">25:00</t>
  </si>
  <si>
    <t xml:space="preserve">17:12</t>
  </si>
  <si>
    <t xml:space="preserve">18:00</t>
  </si>
  <si>
    <t xml:space="preserve">19:05</t>
  </si>
  <si>
    <t xml:space="preserve">E003</t>
  </si>
  <si>
    <t xml:space="preserve">Keisha Williams</t>
  </si>
  <si>
    <t xml:space="preserve">25:35</t>
  </si>
  <si>
    <t xml:space="preserve">16:47</t>
  </si>
  <si>
    <t xml:space="preserve">25:30</t>
  </si>
  <si>
    <t xml:space="preserve">23:42</t>
  </si>
  <si>
    <t xml:space="preserve">16:17</t>
  </si>
  <si>
    <t xml:space="preserve">24:35</t>
  </si>
  <si>
    <t xml:space="preserve">17:17</t>
  </si>
  <si>
    <t xml:space="preserve">23:35</t>
  </si>
  <si>
    <t xml:space="preserve">23:17</t>
  </si>
  <si>
    <t xml:space="preserve">24:41</t>
  </si>
  <si>
    <t xml:space="preserve">E004</t>
  </si>
  <si>
    <t xml:space="preserve">Carlos Rivera</t>
  </si>
  <si>
    <t xml:space="preserve">Bartender</t>
  </si>
  <si>
    <t xml:space="preserve">17:05</t>
  </si>
  <si>
    <t xml:space="preserve">18:47</t>
  </si>
  <si>
    <t xml:space="preserve">23:30</t>
  </si>
  <si>
    <t xml:space="preserve">26:18</t>
  </si>
  <si>
    <t xml:space="preserve">17:35</t>
  </si>
  <si>
    <t xml:space="preserve">19:11</t>
  </si>
  <si>
    <t xml:space="preserve">19:00</t>
  </si>
  <si>
    <t xml:space="preserve">E005</t>
  </si>
  <si>
    <t xml:space="preserve">Tanya Mitchell</t>
  </si>
  <si>
    <t xml:space="preserve">Host</t>
  </si>
  <si>
    <t xml:space="preserve">18:54</t>
  </si>
  <si>
    <t xml:space="preserve">16:35</t>
  </si>
  <si>
    <t xml:space="preserve">24:54</t>
  </si>
  <si>
    <t xml:space="preserve">15:54</t>
  </si>
  <si>
    <t xml:space="preserve">24:17</t>
  </si>
  <si>
    <t xml:space="preserve">24:11</t>
  </si>
  <si>
    <t xml:space="preserve">19:48</t>
  </si>
  <si>
    <t xml:space="preserve">24:30</t>
  </si>
  <si>
    <t xml:space="preserve">18:24</t>
  </si>
  <si>
    <t xml:space="preserve">E006</t>
  </si>
  <si>
    <t xml:space="preserve">Devon Parks</t>
  </si>
  <si>
    <t xml:space="preserve">Line Cook</t>
  </si>
  <si>
    <t xml:space="preserve">09:30</t>
  </si>
  <si>
    <t xml:space="preserve">14:42</t>
  </si>
  <si>
    <t xml:space="preserve">09:00</t>
  </si>
  <si>
    <t xml:space="preserve">07:15</t>
  </si>
  <si>
    <t xml:space="preserve">07:00</t>
  </si>
  <si>
    <t xml:space="preserve">15:11</t>
  </si>
  <si>
    <t xml:space="preserve">17:18</t>
  </si>
  <si>
    <t xml:space="preserve">07:30</t>
  </si>
  <si>
    <t xml:space="preserve">16:18</t>
  </si>
  <si>
    <t xml:space="preserve">16:12</t>
  </si>
  <si>
    <t xml:space="preserve">17:23</t>
  </si>
  <si>
    <t xml:space="preserve">08:30</t>
  </si>
  <si>
    <t xml:space="preserve">13:42</t>
  </si>
  <si>
    <t xml:space="preserve">18:48</t>
  </si>
  <si>
    <t xml:space="preserve">E007</t>
  </si>
  <si>
    <t xml:space="preserve">Lisa Kim</t>
  </si>
  <si>
    <t xml:space="preserve">15:24</t>
  </si>
  <si>
    <t xml:space="preserve">08:15</t>
  </si>
  <si>
    <t xml:space="preserve">16:41</t>
  </si>
  <si>
    <t xml:space="preserve">09:15</t>
  </si>
  <si>
    <t xml:space="preserve">14:47</t>
  </si>
  <si>
    <t xml:space="preserve">13:35</t>
  </si>
  <si>
    <t xml:space="preserve">15:41</t>
  </si>
  <si>
    <t xml:space="preserve">13:12</t>
  </si>
  <si>
    <t xml:space="preserve">15:35</t>
  </si>
  <si>
    <t xml:space="preserve">08:00</t>
  </si>
  <si>
    <t xml:space="preserve">15:17</t>
  </si>
  <si>
    <t xml:space="preserve">14:24</t>
  </si>
  <si>
    <t xml:space="preserve">14:54</t>
  </si>
  <si>
    <t xml:space="preserve">E008</t>
  </si>
  <si>
    <t xml:space="preserve">Robert Chen</t>
  </si>
  <si>
    <t xml:space="preserve">Prep Cook</t>
  </si>
  <si>
    <t xml:space="preserve">15:42</t>
  </si>
  <si>
    <t xml:space="preserve">14:35</t>
  </si>
  <si>
    <t xml:space="preserve">15:48</t>
  </si>
  <si>
    <t xml:space="preserve">16:05</t>
  </si>
  <si>
    <t xml:space="preserve">16:11</t>
  </si>
  <si>
    <t xml:space="preserve">16:24</t>
  </si>
  <si>
    <t xml:space="preserve">18:18</t>
  </si>
  <si>
    <t xml:space="preserve">E009</t>
  </si>
  <si>
    <t xml:space="preserve">Angela Torres</t>
  </si>
  <si>
    <t xml:space="preserve">Dishwasher</t>
  </si>
  <si>
    <t xml:space="preserve">14:17</t>
  </si>
  <si>
    <t xml:space="preserve">17:41</t>
  </si>
  <si>
    <t xml:space="preserve">13:17</t>
  </si>
  <si>
    <t xml:space="preserve">14:05</t>
  </si>
  <si>
    <t xml:space="preserve">13:47</t>
  </si>
  <si>
    <t xml:space="preserve">17:11</t>
  </si>
  <si>
    <t xml:space="preserve">E010</t>
  </si>
  <si>
    <t xml:space="preserve">Marcus Johnson</t>
  </si>
  <si>
    <t xml:space="preserve">Sous Chef</t>
  </si>
  <si>
    <t xml:space="preserve">15:05</t>
  </si>
  <si>
    <t xml:space="preserve">E011</t>
  </si>
  <si>
    <t xml:space="preserve">Sarah Lee</t>
  </si>
  <si>
    <t xml:space="preserve">GM</t>
  </si>
  <si>
    <t xml:space="preserve">15:47</t>
  </si>
  <si>
    <t xml:space="preserve">12:42</t>
  </si>
  <si>
    <t xml:space="preserve">14:12</t>
  </si>
  <si>
    <t xml:space="preserve">E012</t>
  </si>
  <si>
    <t xml:space="preserve">Jamal Brown</t>
  </si>
  <si>
    <t xml:space="preserve">25:54</t>
  </si>
  <si>
    <t xml:space="preserve">24:48</t>
  </si>
  <si>
    <t xml:space="preserve">20:05</t>
  </si>
  <si>
    <t xml:space="preserve">18:05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</si>
</sst>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\$#,##0.0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5233"/>
        <bgColor rgb="FF1F3864"/>
      </patternFill>
    </fill>
    <fill>
      <patternFill patternType="solid">
        <fgColor rgb="FFE8F0E9"/>
        <bgColor rgb="FFDCE6F1"/>
      </patternFill>
    </fill>
    <fill>
      <patternFill patternType="solid">
        <fgColor rgb="FF1F3864"/>
        <bgColor rgb="FF333399"/>
      </patternFill>
    </fill>
    <fill>
      <patternFill patternType="solid">
        <fgColor rgb="FFDCE6F1"/>
        <bgColor rgb="FFE8F0E9"/>
      </patternFill>
    </fill>
    <fill>
      <patternFill patternType="solid">
        <fgColor rgb="FF8B0000"/>
        <bgColor rgb="FF800000"/>
      </patternFill>
    </fill>
    <fill>
      <patternFill patternType="solid">
        <fgColor rgb="FFBF8F00"/>
        <bgColor rgb="FF808000"/>
      </patternFill>
    </fill>
    <fill>
      <patternFill patternType="solid">
        <fgColor rgb="FFFFF2CC"/>
        <bgColor rgb="FFE8F0E9"/>
      </patternFill>
    </fill>
    <fill>
      <patternFill patternType="solid">
        <fgColor rgb="FF4A235A"/>
        <bgColor rgb="FF333399"/>
      </patternFill>
    </fill>
    <fill>
      <patternFill patternType="solid">
        <fgColor rgb="FFE8DAEF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8F0E9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2F5233"/>
      <rgbColor rgb="FF993300"/>
      <rgbColor rgb="FF993366"/>
      <rgbColor rgb="FF33339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233"/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3" min="2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46082</v>
      </c>
      <c r="B2" s="3" t="s">
        <v>13</v>
      </c>
      <c r="C2" s="4" t="n">
        <v>1423.18</v>
      </c>
      <c r="D2" s="4" t="n">
        <v>410.02</v>
      </c>
      <c r="E2" s="4" t="n">
        <v>294.7</v>
      </c>
      <c r="F2" s="4" t="n">
        <v>0</v>
      </c>
      <c r="G2" s="4" t="n">
        <f aca="false">SUM(C2:F2)</f>
        <v>2127.9</v>
      </c>
      <c r="H2" s="4" t="n">
        <v>95.99</v>
      </c>
      <c r="I2" s="4" t="n">
        <f aca="false">G2-H2</f>
        <v>2031.91</v>
      </c>
      <c r="J2" s="4" t="n">
        <f aca="false">I2*0.06</f>
        <v>121.9146</v>
      </c>
      <c r="K2" s="4" t="n">
        <f aca="false">I2+J2</f>
        <v>2153.8246</v>
      </c>
      <c r="L2" s="3" t="n">
        <v>77</v>
      </c>
      <c r="M2" s="4" t="n">
        <f aca="false">G2/L2</f>
        <v>27.6350649350649</v>
      </c>
    </row>
    <row r="3" customFormat="false" ht="15" hidden="false" customHeight="false" outlineLevel="0" collapsed="false">
      <c r="A3" s="2" t="n">
        <v>46083</v>
      </c>
      <c r="B3" s="3" t="s">
        <v>14</v>
      </c>
      <c r="C3" s="4" t="n">
        <v>1173.87</v>
      </c>
      <c r="D3" s="4" t="n">
        <v>332.7</v>
      </c>
      <c r="E3" s="4" t="n">
        <v>290.1</v>
      </c>
      <c r="F3" s="4" t="n">
        <v>0</v>
      </c>
      <c r="G3" s="4" t="n">
        <f aca="false">SUM(C3:F3)</f>
        <v>1796.67</v>
      </c>
      <c r="H3" s="4" t="n">
        <v>82.39</v>
      </c>
      <c r="I3" s="4" t="n">
        <f aca="false">G3-H3</f>
        <v>1714.28</v>
      </c>
      <c r="J3" s="4" t="n">
        <f aca="false">I3*0.06</f>
        <v>102.8568</v>
      </c>
      <c r="K3" s="4" t="n">
        <f aca="false">I3+J3</f>
        <v>1817.1368</v>
      </c>
      <c r="L3" s="3" t="n">
        <v>42</v>
      </c>
      <c r="M3" s="4" t="n">
        <f aca="false">G3/L3</f>
        <v>42.7778571428571</v>
      </c>
    </row>
    <row r="4" customFormat="false" ht="15" hidden="false" customHeight="false" outlineLevel="0" collapsed="false">
      <c r="A4" s="2" t="n">
        <v>46084</v>
      </c>
      <c r="B4" s="3" t="s">
        <v>15</v>
      </c>
      <c r="C4" s="4" t="n">
        <v>974.07</v>
      </c>
      <c r="D4" s="4" t="n">
        <v>353.3</v>
      </c>
      <c r="E4" s="4" t="n">
        <v>193.34</v>
      </c>
      <c r="F4" s="4" t="n">
        <v>93.49</v>
      </c>
      <c r="G4" s="4" t="n">
        <f aca="false">SUM(C4:F4)</f>
        <v>1614.2</v>
      </c>
      <c r="H4" s="4" t="n">
        <v>58.81</v>
      </c>
      <c r="I4" s="4" t="n">
        <f aca="false">G4-H4</f>
        <v>1555.39</v>
      </c>
      <c r="J4" s="4" t="n">
        <f aca="false">I4*0.06</f>
        <v>93.3234</v>
      </c>
      <c r="K4" s="4" t="n">
        <f aca="false">I4+J4</f>
        <v>1648.7134</v>
      </c>
      <c r="L4" s="3" t="n">
        <v>73</v>
      </c>
      <c r="M4" s="4" t="n">
        <f aca="false">G4/L4</f>
        <v>22.1123287671233</v>
      </c>
    </row>
    <row r="5" customFormat="false" ht="15" hidden="false" customHeight="false" outlineLevel="0" collapsed="false">
      <c r="A5" s="2" t="n">
        <v>46085</v>
      </c>
      <c r="B5" s="3" t="s">
        <v>16</v>
      </c>
      <c r="C5" s="4" t="n">
        <v>838.18</v>
      </c>
      <c r="D5" s="4" t="n">
        <v>315.37</v>
      </c>
      <c r="E5" s="4" t="n">
        <v>185.8</v>
      </c>
      <c r="F5" s="4" t="n">
        <v>0</v>
      </c>
      <c r="G5" s="4" t="n">
        <f aca="false">SUM(C5:F5)</f>
        <v>1339.35</v>
      </c>
      <c r="H5" s="4" t="n">
        <v>28.3</v>
      </c>
      <c r="I5" s="4" t="n">
        <f aca="false">G5-H5</f>
        <v>1311.05</v>
      </c>
      <c r="J5" s="4" t="n">
        <f aca="false">I5*0.06</f>
        <v>78.663</v>
      </c>
      <c r="K5" s="4" t="n">
        <f aca="false">I5+J5</f>
        <v>1389.713</v>
      </c>
      <c r="L5" s="3" t="n">
        <v>75</v>
      </c>
      <c r="M5" s="4" t="n">
        <f aca="false">G5/L5</f>
        <v>17.858</v>
      </c>
    </row>
    <row r="6" customFormat="false" ht="15" hidden="false" customHeight="false" outlineLevel="0" collapsed="false">
      <c r="A6" s="2" t="n">
        <v>46086</v>
      </c>
      <c r="B6" s="3" t="s">
        <v>17</v>
      </c>
      <c r="C6" s="4" t="n">
        <v>1043.67</v>
      </c>
      <c r="D6" s="4" t="n">
        <v>393.62</v>
      </c>
      <c r="E6" s="4" t="n">
        <v>243.81</v>
      </c>
      <c r="F6" s="4" t="n">
        <v>0</v>
      </c>
      <c r="G6" s="4" t="n">
        <f aca="false">SUM(C6:F6)</f>
        <v>1681.1</v>
      </c>
      <c r="H6" s="4" t="n">
        <v>46.94</v>
      </c>
      <c r="I6" s="4" t="n">
        <f aca="false">G6-H6</f>
        <v>1634.16</v>
      </c>
      <c r="J6" s="4" t="n">
        <f aca="false">I6*0.06</f>
        <v>98.0496</v>
      </c>
      <c r="K6" s="4" t="n">
        <f aca="false">I6+J6</f>
        <v>1732.2096</v>
      </c>
      <c r="L6" s="3" t="n">
        <v>30</v>
      </c>
      <c r="M6" s="4" t="n">
        <f aca="false">G6/L6</f>
        <v>56.0366666666667</v>
      </c>
    </row>
    <row r="7" customFormat="false" ht="15" hidden="false" customHeight="false" outlineLevel="0" collapsed="false">
      <c r="A7" s="2" t="n">
        <v>46087</v>
      </c>
      <c r="B7" s="3" t="s">
        <v>18</v>
      </c>
      <c r="C7" s="4" t="n">
        <v>1440.16</v>
      </c>
      <c r="D7" s="4" t="n">
        <v>458.76</v>
      </c>
      <c r="E7" s="4" t="n">
        <v>483.28</v>
      </c>
      <c r="F7" s="4" t="n">
        <v>0</v>
      </c>
      <c r="G7" s="4" t="n">
        <f aca="false">SUM(C7:F7)</f>
        <v>2382.2</v>
      </c>
      <c r="H7" s="4" t="n">
        <v>71.87</v>
      </c>
      <c r="I7" s="4" t="n">
        <f aca="false">G7-H7</f>
        <v>2310.33</v>
      </c>
      <c r="J7" s="4" t="n">
        <f aca="false">I7*0.06</f>
        <v>138.6198</v>
      </c>
      <c r="K7" s="4" t="n">
        <f aca="false">I7+J7</f>
        <v>2448.9498</v>
      </c>
      <c r="L7" s="3" t="n">
        <v>70</v>
      </c>
      <c r="M7" s="4" t="n">
        <f aca="false">G7/L7</f>
        <v>34.0314285714286</v>
      </c>
    </row>
    <row r="8" customFormat="false" ht="15" hidden="false" customHeight="false" outlineLevel="0" collapsed="false">
      <c r="A8" s="2" t="n">
        <v>46088</v>
      </c>
      <c r="B8" s="3" t="s">
        <v>19</v>
      </c>
      <c r="C8" s="4" t="n">
        <v>1584.41</v>
      </c>
      <c r="D8" s="4" t="n">
        <v>643.01</v>
      </c>
      <c r="E8" s="4" t="n">
        <v>339.38</v>
      </c>
      <c r="F8" s="4" t="n">
        <v>0</v>
      </c>
      <c r="G8" s="4" t="n">
        <f aca="false">SUM(C8:F8)</f>
        <v>2566.8</v>
      </c>
      <c r="H8" s="4" t="n">
        <v>112.08</v>
      </c>
      <c r="I8" s="4" t="n">
        <f aca="false">G8-H8</f>
        <v>2454.72</v>
      </c>
      <c r="J8" s="4" t="n">
        <f aca="false">I8*0.06</f>
        <v>147.2832</v>
      </c>
      <c r="K8" s="4" t="n">
        <f aca="false">I8+J8</f>
        <v>2602.0032</v>
      </c>
      <c r="L8" s="3" t="n">
        <v>65</v>
      </c>
      <c r="M8" s="4" t="n">
        <f aca="false">G8/L8</f>
        <v>39.4892307692308</v>
      </c>
    </row>
    <row r="9" customFormat="false" ht="15" hidden="false" customHeight="false" outlineLevel="0" collapsed="false">
      <c r="A9" s="2" t="n">
        <v>46089</v>
      </c>
      <c r="B9" s="3" t="s">
        <v>13</v>
      </c>
      <c r="C9" s="4" t="n">
        <v>1698.01</v>
      </c>
      <c r="D9" s="4" t="n">
        <v>482.51</v>
      </c>
      <c r="E9" s="4" t="n">
        <v>481.21</v>
      </c>
      <c r="F9" s="4" t="n">
        <v>0</v>
      </c>
      <c r="G9" s="4" t="n">
        <f aca="false">SUM(C9:F9)</f>
        <v>2661.73</v>
      </c>
      <c r="H9" s="4" t="n">
        <v>70.32</v>
      </c>
      <c r="I9" s="4" t="n">
        <f aca="false">G9-H9</f>
        <v>2591.41</v>
      </c>
      <c r="J9" s="4" t="n">
        <f aca="false">I9*0.06</f>
        <v>155.4846</v>
      </c>
      <c r="K9" s="4" t="n">
        <f aca="false">I9+J9</f>
        <v>2746.8946</v>
      </c>
      <c r="L9" s="3" t="n">
        <v>67</v>
      </c>
      <c r="M9" s="4" t="n">
        <f aca="false">G9/L9</f>
        <v>39.7273134328358</v>
      </c>
    </row>
    <row r="10" customFormat="false" ht="15" hidden="false" customHeight="false" outlineLevel="0" collapsed="false">
      <c r="A10" s="2" t="n">
        <v>46090</v>
      </c>
      <c r="B10" s="3" t="s">
        <v>14</v>
      </c>
      <c r="C10" s="4" t="n">
        <v>724.09</v>
      </c>
      <c r="D10" s="4" t="n">
        <v>205.83</v>
      </c>
      <c r="E10" s="4" t="n">
        <v>244.75</v>
      </c>
      <c r="F10" s="4" t="n">
        <v>20.29</v>
      </c>
      <c r="G10" s="4" t="n">
        <f aca="false">SUM(C10:F10)</f>
        <v>1194.96</v>
      </c>
      <c r="H10" s="4" t="n">
        <v>62.54</v>
      </c>
      <c r="I10" s="4" t="n">
        <f aca="false">G10-H10</f>
        <v>1132.42</v>
      </c>
      <c r="J10" s="4" t="n">
        <f aca="false">I10*0.06</f>
        <v>67.9452</v>
      </c>
      <c r="K10" s="4" t="n">
        <f aca="false">I10+J10</f>
        <v>1200.3652</v>
      </c>
      <c r="L10" s="3" t="n">
        <v>35</v>
      </c>
      <c r="M10" s="4" t="n">
        <f aca="false">G10/L10</f>
        <v>34.1417142857143</v>
      </c>
    </row>
    <row r="11" customFormat="false" ht="15" hidden="false" customHeight="false" outlineLevel="0" collapsed="false">
      <c r="A11" s="2" t="n">
        <v>46091</v>
      </c>
      <c r="B11" s="3" t="s">
        <v>15</v>
      </c>
      <c r="C11" s="4" t="n">
        <v>792.89</v>
      </c>
      <c r="D11" s="4" t="n">
        <v>354.35</v>
      </c>
      <c r="E11" s="4" t="n">
        <v>226.21</v>
      </c>
      <c r="F11" s="4" t="n">
        <v>0</v>
      </c>
      <c r="G11" s="4" t="n">
        <f aca="false">SUM(C11:F11)</f>
        <v>1373.45</v>
      </c>
      <c r="H11" s="4" t="n">
        <v>60.53</v>
      </c>
      <c r="I11" s="4" t="n">
        <f aca="false">G11-H11</f>
        <v>1312.92</v>
      </c>
      <c r="J11" s="4" t="n">
        <f aca="false">I11*0.06</f>
        <v>78.7752</v>
      </c>
      <c r="K11" s="4" t="n">
        <f aca="false">I11+J11</f>
        <v>1391.6952</v>
      </c>
      <c r="L11" s="3" t="n">
        <v>80</v>
      </c>
      <c r="M11" s="4" t="n">
        <f aca="false">G11/L11</f>
        <v>17.168125</v>
      </c>
    </row>
    <row r="12" customFormat="false" ht="15" hidden="false" customHeight="false" outlineLevel="0" collapsed="false">
      <c r="A12" s="2" t="n">
        <v>46092</v>
      </c>
      <c r="B12" s="3" t="s">
        <v>16</v>
      </c>
      <c r="C12" s="4" t="n">
        <v>1332.99</v>
      </c>
      <c r="D12" s="4" t="n">
        <v>360.11</v>
      </c>
      <c r="E12" s="4" t="n">
        <v>238.59</v>
      </c>
      <c r="F12" s="4" t="n">
        <v>0</v>
      </c>
      <c r="G12" s="4" t="n">
        <f aca="false">SUM(C12:F12)</f>
        <v>1931.69</v>
      </c>
      <c r="H12" s="4" t="n">
        <v>102.51</v>
      </c>
      <c r="I12" s="4" t="n">
        <f aca="false">G12-H12</f>
        <v>1829.18</v>
      </c>
      <c r="J12" s="4" t="n">
        <f aca="false">I12*0.06</f>
        <v>109.7508</v>
      </c>
      <c r="K12" s="4" t="n">
        <f aca="false">I12+J12</f>
        <v>1938.9308</v>
      </c>
      <c r="L12" s="3" t="n">
        <v>38</v>
      </c>
      <c r="M12" s="4" t="n">
        <f aca="false">G12/L12</f>
        <v>50.8339473684211</v>
      </c>
    </row>
    <row r="13" customFormat="false" ht="15" hidden="false" customHeight="false" outlineLevel="0" collapsed="false">
      <c r="A13" s="2" t="n">
        <v>46093</v>
      </c>
      <c r="B13" s="3" t="s">
        <v>17</v>
      </c>
      <c r="C13" s="4" t="n">
        <v>929.98</v>
      </c>
      <c r="D13" s="4" t="n">
        <v>373.75</v>
      </c>
      <c r="E13" s="4" t="n">
        <v>334.44</v>
      </c>
      <c r="F13" s="4" t="n">
        <v>0</v>
      </c>
      <c r="G13" s="4" t="n">
        <f aca="false">SUM(C13:F13)</f>
        <v>1638.17</v>
      </c>
      <c r="H13" s="4" t="n">
        <v>106.39</v>
      </c>
      <c r="I13" s="4" t="n">
        <f aca="false">G13-H13</f>
        <v>1531.78</v>
      </c>
      <c r="J13" s="4" t="n">
        <f aca="false">I13*0.06</f>
        <v>91.9068</v>
      </c>
      <c r="K13" s="4" t="n">
        <f aca="false">I13+J13</f>
        <v>1623.6868</v>
      </c>
      <c r="L13" s="3" t="n">
        <v>68</v>
      </c>
      <c r="M13" s="4" t="n">
        <f aca="false">G13/L13</f>
        <v>24.0907352941177</v>
      </c>
    </row>
    <row r="14" customFormat="false" ht="15" hidden="false" customHeight="false" outlineLevel="0" collapsed="false">
      <c r="A14" s="2" t="n">
        <v>46094</v>
      </c>
      <c r="B14" s="3" t="s">
        <v>18</v>
      </c>
      <c r="C14" s="4" t="n">
        <v>1723.15</v>
      </c>
      <c r="D14" s="4" t="n">
        <v>395.13</v>
      </c>
      <c r="E14" s="4" t="n">
        <v>485.31</v>
      </c>
      <c r="F14" s="4" t="n">
        <v>0</v>
      </c>
      <c r="G14" s="4" t="n">
        <f aca="false">SUM(C14:F14)</f>
        <v>2603.59</v>
      </c>
      <c r="H14" s="4" t="n">
        <v>31.87</v>
      </c>
      <c r="I14" s="4" t="n">
        <f aca="false">G14-H14</f>
        <v>2571.72</v>
      </c>
      <c r="J14" s="4" t="n">
        <f aca="false">I14*0.06</f>
        <v>154.3032</v>
      </c>
      <c r="K14" s="4" t="n">
        <f aca="false">I14+J14</f>
        <v>2726.0232</v>
      </c>
      <c r="L14" s="3" t="n">
        <v>82</v>
      </c>
      <c r="M14" s="4" t="n">
        <f aca="false">G14/L14</f>
        <v>31.7510975609756</v>
      </c>
    </row>
    <row r="15" customFormat="false" ht="15" hidden="false" customHeight="false" outlineLevel="0" collapsed="false">
      <c r="A15" s="2" t="n">
        <v>46095</v>
      </c>
      <c r="B15" s="3" t="s">
        <v>19</v>
      </c>
      <c r="C15" s="4" t="n">
        <v>1239.31</v>
      </c>
      <c r="D15" s="4" t="n">
        <v>403.29</v>
      </c>
      <c r="E15" s="4" t="n">
        <v>286.38</v>
      </c>
      <c r="F15" s="4" t="n">
        <v>0</v>
      </c>
      <c r="G15" s="4" t="n">
        <f aca="false">SUM(C15:F15)</f>
        <v>1928.98</v>
      </c>
      <c r="H15" s="4" t="n">
        <v>76.1</v>
      </c>
      <c r="I15" s="4" t="n">
        <f aca="false">G15-H15</f>
        <v>1852.88</v>
      </c>
      <c r="J15" s="4" t="n">
        <f aca="false">I15*0.06</f>
        <v>111.1728</v>
      </c>
      <c r="K15" s="4" t="n">
        <f aca="false">I15+J15</f>
        <v>1964.0528</v>
      </c>
      <c r="L15" s="3" t="n">
        <v>108</v>
      </c>
      <c r="M15" s="4" t="n">
        <f aca="false">G15/L15</f>
        <v>17.8609259259259</v>
      </c>
    </row>
    <row r="16" customFormat="false" ht="15" hidden="false" customHeight="false" outlineLevel="0" collapsed="false">
      <c r="A16" s="2" t="n">
        <v>46096</v>
      </c>
      <c r="B16" s="3" t="s">
        <v>13</v>
      </c>
      <c r="C16" s="4" t="n">
        <v>1738.37</v>
      </c>
      <c r="D16" s="4" t="n">
        <v>603.84</v>
      </c>
      <c r="E16" s="4" t="n">
        <v>279.3</v>
      </c>
      <c r="F16" s="4" t="n">
        <v>74.38</v>
      </c>
      <c r="G16" s="4" t="n">
        <f aca="false">SUM(C16:F16)</f>
        <v>2695.89</v>
      </c>
      <c r="H16" s="4" t="n">
        <v>27.24</v>
      </c>
      <c r="I16" s="4" t="n">
        <f aca="false">G16-H16</f>
        <v>2668.65</v>
      </c>
      <c r="J16" s="4" t="n">
        <f aca="false">I16*0.06</f>
        <v>160.119</v>
      </c>
      <c r="K16" s="4" t="n">
        <f aca="false">I16+J16</f>
        <v>2828.769</v>
      </c>
      <c r="L16" s="3" t="n">
        <v>81</v>
      </c>
      <c r="M16" s="4" t="n">
        <f aca="false">G16/L16</f>
        <v>33.2825925925926</v>
      </c>
    </row>
    <row r="17" customFormat="false" ht="15" hidden="false" customHeight="false" outlineLevel="0" collapsed="false">
      <c r="A17" s="2" t="n">
        <v>46097</v>
      </c>
      <c r="B17" s="3" t="s">
        <v>14</v>
      </c>
      <c r="C17" s="4" t="n">
        <v>707.25</v>
      </c>
      <c r="D17" s="4" t="n">
        <v>408.14</v>
      </c>
      <c r="E17" s="4" t="n">
        <v>217.49</v>
      </c>
      <c r="F17" s="4" t="n">
        <v>0</v>
      </c>
      <c r="G17" s="4" t="n">
        <f aca="false">SUM(C17:F17)</f>
        <v>1332.88</v>
      </c>
      <c r="H17" s="4" t="n">
        <v>53.68</v>
      </c>
      <c r="I17" s="4" t="n">
        <f aca="false">G17-H17</f>
        <v>1279.2</v>
      </c>
      <c r="J17" s="4" t="n">
        <f aca="false">I17*0.06</f>
        <v>76.752</v>
      </c>
      <c r="K17" s="4" t="n">
        <f aca="false">I17+J17</f>
        <v>1355.952</v>
      </c>
      <c r="L17" s="3" t="n">
        <v>81</v>
      </c>
      <c r="M17" s="4" t="n">
        <f aca="false">G17/L17</f>
        <v>16.4553086419753</v>
      </c>
    </row>
    <row r="18" customFormat="false" ht="15" hidden="false" customHeight="false" outlineLevel="0" collapsed="false">
      <c r="A18" s="2" t="n">
        <v>46098</v>
      </c>
      <c r="B18" s="3" t="s">
        <v>15</v>
      </c>
      <c r="C18" s="4" t="n">
        <v>959.62</v>
      </c>
      <c r="D18" s="4" t="n">
        <v>303.52</v>
      </c>
      <c r="E18" s="4" t="n">
        <v>224.2</v>
      </c>
      <c r="F18" s="4" t="n">
        <v>0</v>
      </c>
      <c r="G18" s="4" t="n">
        <f aca="false">SUM(C18:F18)</f>
        <v>1487.34</v>
      </c>
      <c r="H18" s="4" t="n">
        <v>107.96</v>
      </c>
      <c r="I18" s="4" t="n">
        <f aca="false">G18-H18</f>
        <v>1379.38</v>
      </c>
      <c r="J18" s="4" t="n">
        <f aca="false">I18*0.06</f>
        <v>82.7628</v>
      </c>
      <c r="K18" s="4" t="n">
        <f aca="false">I18+J18</f>
        <v>1462.1428</v>
      </c>
      <c r="L18" s="3" t="n">
        <v>53</v>
      </c>
      <c r="M18" s="4" t="n">
        <f aca="false">G18/L18</f>
        <v>28.0630188679245</v>
      </c>
    </row>
    <row r="19" customFormat="false" ht="15" hidden="false" customHeight="false" outlineLevel="0" collapsed="false">
      <c r="A19" s="2" t="n">
        <v>46099</v>
      </c>
      <c r="B19" s="3" t="s">
        <v>16</v>
      </c>
      <c r="C19" s="4" t="n">
        <v>1169.08</v>
      </c>
      <c r="D19" s="4" t="n">
        <v>299.64</v>
      </c>
      <c r="E19" s="4" t="n">
        <v>238.79</v>
      </c>
      <c r="F19" s="4" t="n">
        <v>0</v>
      </c>
      <c r="G19" s="4" t="n">
        <f aca="false">SUM(C19:F19)</f>
        <v>1707.51</v>
      </c>
      <c r="H19" s="4" t="n">
        <v>85.43</v>
      </c>
      <c r="I19" s="4" t="n">
        <f aca="false">G19-H19</f>
        <v>1622.08</v>
      </c>
      <c r="J19" s="4" t="n">
        <f aca="false">I19*0.06</f>
        <v>97.3248</v>
      </c>
      <c r="K19" s="4" t="n">
        <f aca="false">I19+J19</f>
        <v>1719.4048</v>
      </c>
      <c r="L19" s="3" t="n">
        <v>71</v>
      </c>
      <c r="M19" s="4" t="n">
        <f aca="false">G19/L19</f>
        <v>24.0494366197183</v>
      </c>
    </row>
    <row r="20" customFormat="false" ht="15" hidden="false" customHeight="false" outlineLevel="0" collapsed="false">
      <c r="A20" s="2" t="n">
        <v>46100</v>
      </c>
      <c r="B20" s="3" t="s">
        <v>17</v>
      </c>
      <c r="C20" s="4" t="n">
        <v>1167.98</v>
      </c>
      <c r="D20" s="4" t="n">
        <v>226.44</v>
      </c>
      <c r="E20" s="4" t="n">
        <v>287.58</v>
      </c>
      <c r="F20" s="4" t="n">
        <v>0</v>
      </c>
      <c r="G20" s="4" t="n">
        <f aca="false">SUM(C20:F20)</f>
        <v>1682</v>
      </c>
      <c r="H20" s="4" t="n">
        <v>96.4</v>
      </c>
      <c r="I20" s="4" t="n">
        <f aca="false">G20-H20</f>
        <v>1585.6</v>
      </c>
      <c r="J20" s="4" t="n">
        <f aca="false">I20*0.06</f>
        <v>95.136</v>
      </c>
      <c r="K20" s="4" t="n">
        <f aca="false">I20+J20</f>
        <v>1680.736</v>
      </c>
      <c r="L20" s="3" t="n">
        <v>75</v>
      </c>
      <c r="M20" s="4" t="n">
        <f aca="false">G20/L20</f>
        <v>22.4266666666667</v>
      </c>
    </row>
    <row r="21" customFormat="false" ht="15" hidden="false" customHeight="false" outlineLevel="0" collapsed="false">
      <c r="A21" s="2" t="n">
        <v>46101</v>
      </c>
      <c r="B21" s="3" t="s">
        <v>18</v>
      </c>
      <c r="C21" s="4" t="n">
        <v>1639.44</v>
      </c>
      <c r="D21" s="4" t="n">
        <v>424.92</v>
      </c>
      <c r="E21" s="4" t="n">
        <v>324.09</v>
      </c>
      <c r="F21" s="4" t="n">
        <v>32.05</v>
      </c>
      <c r="G21" s="4" t="n">
        <f aca="false">SUM(C21:F21)</f>
        <v>2420.5</v>
      </c>
      <c r="H21" s="4" t="n">
        <v>63.78</v>
      </c>
      <c r="I21" s="4" t="n">
        <f aca="false">G21-H21</f>
        <v>2356.72</v>
      </c>
      <c r="J21" s="4" t="n">
        <f aca="false">I21*0.06</f>
        <v>141.4032</v>
      </c>
      <c r="K21" s="4" t="n">
        <f aca="false">I21+J21</f>
        <v>2498.1232</v>
      </c>
      <c r="L21" s="3" t="n">
        <v>77</v>
      </c>
      <c r="M21" s="4" t="n">
        <f aca="false">G21/L21</f>
        <v>31.4350649350649</v>
      </c>
    </row>
    <row r="22" customFormat="false" ht="15" hidden="false" customHeight="false" outlineLevel="0" collapsed="false">
      <c r="A22" s="2" t="n">
        <v>46102</v>
      </c>
      <c r="B22" s="3" t="s">
        <v>19</v>
      </c>
      <c r="C22" s="4" t="n">
        <v>1155.74</v>
      </c>
      <c r="D22" s="4" t="n">
        <v>437.91</v>
      </c>
      <c r="E22" s="4" t="n">
        <v>421.2</v>
      </c>
      <c r="F22" s="4" t="n">
        <v>0</v>
      </c>
      <c r="G22" s="4" t="n">
        <f aca="false">SUM(C22:F22)</f>
        <v>2014.85</v>
      </c>
      <c r="H22" s="4" t="n">
        <v>67.71</v>
      </c>
      <c r="I22" s="4" t="n">
        <f aca="false">G22-H22</f>
        <v>1947.14</v>
      </c>
      <c r="J22" s="4" t="n">
        <f aca="false">I22*0.06</f>
        <v>116.8284</v>
      </c>
      <c r="K22" s="4" t="n">
        <f aca="false">I22+J22</f>
        <v>2063.9684</v>
      </c>
      <c r="L22" s="3" t="n">
        <v>61</v>
      </c>
      <c r="M22" s="4" t="n">
        <f aca="false">G22/L22</f>
        <v>33.0303278688525</v>
      </c>
    </row>
    <row r="23" customFormat="false" ht="15" hidden="false" customHeight="false" outlineLevel="0" collapsed="false">
      <c r="A23" s="2" t="n">
        <v>46103</v>
      </c>
      <c r="B23" s="3" t="s">
        <v>13</v>
      </c>
      <c r="C23" s="4" t="n">
        <v>1843.86</v>
      </c>
      <c r="D23" s="4" t="n">
        <v>427.05</v>
      </c>
      <c r="E23" s="4" t="n">
        <v>470.39</v>
      </c>
      <c r="F23" s="4" t="n">
        <v>0</v>
      </c>
      <c r="G23" s="4" t="n">
        <f aca="false">SUM(C23:F23)</f>
        <v>2741.3</v>
      </c>
      <c r="H23" s="4" t="n">
        <v>85.82</v>
      </c>
      <c r="I23" s="4" t="n">
        <f aca="false">G23-H23</f>
        <v>2655.48</v>
      </c>
      <c r="J23" s="4" t="n">
        <f aca="false">I23*0.06</f>
        <v>159.3288</v>
      </c>
      <c r="K23" s="4" t="n">
        <f aca="false">I23+J23</f>
        <v>2814.8088</v>
      </c>
      <c r="L23" s="3" t="n">
        <v>123</v>
      </c>
      <c r="M23" s="4" t="n">
        <f aca="false">G23/L23</f>
        <v>22.2869918699187</v>
      </c>
    </row>
    <row r="24" customFormat="false" ht="15" hidden="false" customHeight="false" outlineLevel="0" collapsed="false">
      <c r="A24" s="2" t="n">
        <v>46104</v>
      </c>
      <c r="B24" s="3" t="s">
        <v>14</v>
      </c>
      <c r="C24" s="4" t="n">
        <v>803.62</v>
      </c>
      <c r="D24" s="4" t="n">
        <v>294.74</v>
      </c>
      <c r="E24" s="4" t="n">
        <v>285.67</v>
      </c>
      <c r="F24" s="4" t="n">
        <v>154.67</v>
      </c>
      <c r="G24" s="4" t="n">
        <f aca="false">SUM(C24:F24)</f>
        <v>1538.7</v>
      </c>
      <c r="H24" s="4" t="n">
        <v>91.48</v>
      </c>
      <c r="I24" s="4" t="n">
        <f aca="false">G24-H24</f>
        <v>1447.22</v>
      </c>
      <c r="J24" s="4" t="n">
        <f aca="false">I24*0.06</f>
        <v>86.8332</v>
      </c>
      <c r="K24" s="4" t="n">
        <f aca="false">I24+J24</f>
        <v>1534.0532</v>
      </c>
      <c r="L24" s="3" t="n">
        <v>42</v>
      </c>
      <c r="M24" s="4" t="n">
        <f aca="false">G24/L24</f>
        <v>36.6357142857143</v>
      </c>
    </row>
    <row r="25" customFormat="false" ht="15" hidden="false" customHeight="false" outlineLevel="0" collapsed="false">
      <c r="A25" s="2" t="n">
        <v>46105</v>
      </c>
      <c r="B25" s="3" t="s">
        <v>15</v>
      </c>
      <c r="C25" s="4" t="n">
        <v>946.89</v>
      </c>
      <c r="D25" s="4" t="n">
        <v>421.87</v>
      </c>
      <c r="E25" s="4" t="n">
        <v>219.08</v>
      </c>
      <c r="F25" s="4" t="n">
        <v>0</v>
      </c>
      <c r="G25" s="4" t="n">
        <f aca="false">SUM(C25:F25)</f>
        <v>1587.84</v>
      </c>
      <c r="H25" s="4" t="n">
        <v>89.43</v>
      </c>
      <c r="I25" s="4" t="n">
        <f aca="false">G25-H25</f>
        <v>1498.41</v>
      </c>
      <c r="J25" s="4" t="n">
        <f aca="false">I25*0.06</f>
        <v>89.9046</v>
      </c>
      <c r="K25" s="4" t="n">
        <f aca="false">I25+J25</f>
        <v>1588.3146</v>
      </c>
      <c r="L25" s="3" t="n">
        <v>84</v>
      </c>
      <c r="M25" s="4" t="n">
        <f aca="false">G25/L25</f>
        <v>18.9028571428571</v>
      </c>
    </row>
    <row r="26" customFormat="false" ht="15" hidden="false" customHeight="false" outlineLevel="0" collapsed="false">
      <c r="A26" s="2" t="n">
        <v>46106</v>
      </c>
      <c r="B26" s="3" t="s">
        <v>16</v>
      </c>
      <c r="C26" s="4" t="n">
        <v>825.63</v>
      </c>
      <c r="D26" s="4" t="n">
        <v>366.25</v>
      </c>
      <c r="E26" s="4" t="n">
        <v>184.33</v>
      </c>
      <c r="F26" s="4" t="n">
        <v>0</v>
      </c>
      <c r="G26" s="4" t="n">
        <f aca="false">SUM(C26:F26)</f>
        <v>1376.21</v>
      </c>
      <c r="H26" s="4" t="n">
        <v>85.72</v>
      </c>
      <c r="I26" s="4" t="n">
        <f aca="false">G26-H26</f>
        <v>1290.49</v>
      </c>
      <c r="J26" s="4" t="n">
        <f aca="false">I26*0.06</f>
        <v>77.4294</v>
      </c>
      <c r="K26" s="4" t="n">
        <f aca="false">I26+J26</f>
        <v>1367.9194</v>
      </c>
      <c r="L26" s="3" t="n">
        <v>77</v>
      </c>
      <c r="M26" s="4" t="n">
        <f aca="false">G26/L26</f>
        <v>17.8728571428571</v>
      </c>
    </row>
    <row r="27" customFormat="false" ht="15" hidden="false" customHeight="false" outlineLevel="0" collapsed="false">
      <c r="A27" s="2" t="n">
        <v>46107</v>
      </c>
      <c r="B27" s="3" t="s">
        <v>17</v>
      </c>
      <c r="C27" s="4" t="n">
        <v>1189.22</v>
      </c>
      <c r="D27" s="4" t="n">
        <v>376.57</v>
      </c>
      <c r="E27" s="4" t="n">
        <v>231.65</v>
      </c>
      <c r="F27" s="4" t="n">
        <v>164.14</v>
      </c>
      <c r="G27" s="4" t="n">
        <f aca="false">SUM(C27:F27)</f>
        <v>1961.58</v>
      </c>
      <c r="H27" s="4" t="n">
        <v>20.36</v>
      </c>
      <c r="I27" s="4" t="n">
        <f aca="false">G27-H27</f>
        <v>1941.22</v>
      </c>
      <c r="J27" s="4" t="n">
        <f aca="false">I27*0.06</f>
        <v>116.4732</v>
      </c>
      <c r="K27" s="4" t="n">
        <f aca="false">I27+J27</f>
        <v>2057.6932</v>
      </c>
      <c r="L27" s="3" t="n">
        <v>62</v>
      </c>
      <c r="M27" s="4" t="n">
        <f aca="false">G27/L27</f>
        <v>31.6383870967742</v>
      </c>
    </row>
    <row r="28" customFormat="false" ht="15" hidden="false" customHeight="false" outlineLevel="0" collapsed="false">
      <c r="A28" s="2" t="n">
        <v>46108</v>
      </c>
      <c r="B28" s="3" t="s">
        <v>18</v>
      </c>
      <c r="C28" s="4" t="n">
        <v>1525.4</v>
      </c>
      <c r="D28" s="4" t="n">
        <v>350.39</v>
      </c>
      <c r="E28" s="4" t="n">
        <v>327.63</v>
      </c>
      <c r="F28" s="4" t="n">
        <v>299.02</v>
      </c>
      <c r="G28" s="4" t="n">
        <f aca="false">SUM(C28:F28)</f>
        <v>2502.44</v>
      </c>
      <c r="H28" s="4" t="n">
        <v>36.74</v>
      </c>
      <c r="I28" s="4" t="n">
        <f aca="false">G28-H28</f>
        <v>2465.7</v>
      </c>
      <c r="J28" s="4" t="n">
        <f aca="false">I28*0.06</f>
        <v>147.942</v>
      </c>
      <c r="K28" s="4" t="n">
        <f aca="false">I28+J28</f>
        <v>2613.642</v>
      </c>
      <c r="L28" s="3" t="n">
        <v>101</v>
      </c>
      <c r="M28" s="4" t="n">
        <f aca="false">G28/L28</f>
        <v>24.7766336633663</v>
      </c>
    </row>
    <row r="29" customFormat="false" ht="15" hidden="false" customHeight="false" outlineLevel="0" collapsed="false">
      <c r="A29" s="2" t="n">
        <v>46109</v>
      </c>
      <c r="B29" s="3" t="s">
        <v>19</v>
      </c>
      <c r="C29" s="4" t="n">
        <v>1846.47</v>
      </c>
      <c r="D29" s="4" t="n">
        <v>429.17</v>
      </c>
      <c r="E29" s="4" t="n">
        <v>462.86</v>
      </c>
      <c r="F29" s="4" t="n">
        <v>0</v>
      </c>
      <c r="G29" s="4" t="n">
        <f aca="false">SUM(C29:F29)</f>
        <v>2738.5</v>
      </c>
      <c r="H29" s="4" t="n">
        <v>76.04</v>
      </c>
      <c r="I29" s="4" t="n">
        <f aca="false">G29-H29</f>
        <v>2662.46</v>
      </c>
      <c r="J29" s="4" t="n">
        <f aca="false">I29*0.06</f>
        <v>159.7476</v>
      </c>
      <c r="K29" s="4" t="n">
        <f aca="false">I29+J29</f>
        <v>2822.2076</v>
      </c>
      <c r="L29" s="3" t="n">
        <v>125</v>
      </c>
      <c r="M29" s="4" t="n">
        <f aca="false">G29/L29</f>
        <v>21.908</v>
      </c>
    </row>
    <row r="30" customFormat="false" ht="15" hidden="false" customHeight="false" outlineLevel="0" collapsed="false">
      <c r="A30" s="2" t="n">
        <v>46110</v>
      </c>
      <c r="B30" s="3" t="s">
        <v>13</v>
      </c>
      <c r="C30" s="4" t="n">
        <v>1595.84</v>
      </c>
      <c r="D30" s="4" t="n">
        <v>539.51</v>
      </c>
      <c r="E30" s="4" t="n">
        <v>441.26</v>
      </c>
      <c r="F30" s="4" t="n">
        <v>80.11</v>
      </c>
      <c r="G30" s="4" t="n">
        <f aca="false">SUM(C30:F30)</f>
        <v>2656.72</v>
      </c>
      <c r="H30" s="4" t="n">
        <v>22.06</v>
      </c>
      <c r="I30" s="4" t="n">
        <f aca="false">G30-H30</f>
        <v>2634.66</v>
      </c>
      <c r="J30" s="4" t="n">
        <f aca="false">I30*0.06</f>
        <v>158.0796</v>
      </c>
      <c r="K30" s="4" t="n">
        <f aca="false">I30+J30</f>
        <v>2792.7396</v>
      </c>
      <c r="L30" s="3" t="n">
        <v>58</v>
      </c>
      <c r="M30" s="4" t="n">
        <f aca="false">G30/L30</f>
        <v>45.8055172413793</v>
      </c>
    </row>
    <row r="31" customFormat="false" ht="15" hidden="false" customHeight="false" outlineLevel="0" collapsed="false">
      <c r="A31" s="2" t="n">
        <v>46111</v>
      </c>
      <c r="B31" s="3" t="s">
        <v>14</v>
      </c>
      <c r="C31" s="4" t="n">
        <v>1224.14</v>
      </c>
      <c r="D31" s="4" t="n">
        <v>218.89</v>
      </c>
      <c r="E31" s="4" t="n">
        <v>156.39</v>
      </c>
      <c r="F31" s="4" t="n">
        <v>0</v>
      </c>
      <c r="G31" s="4" t="n">
        <f aca="false">SUM(C31:F31)</f>
        <v>1599.42</v>
      </c>
      <c r="H31" s="4" t="n">
        <v>49.97</v>
      </c>
      <c r="I31" s="4" t="n">
        <f aca="false">G31-H31</f>
        <v>1549.45</v>
      </c>
      <c r="J31" s="4" t="n">
        <f aca="false">I31*0.06</f>
        <v>92.967</v>
      </c>
      <c r="K31" s="4" t="n">
        <f aca="false">I31+J31</f>
        <v>1642.417</v>
      </c>
      <c r="L31" s="3" t="n">
        <v>65</v>
      </c>
      <c r="M31" s="4" t="n">
        <f aca="false">G31/L31</f>
        <v>24.6064615384615</v>
      </c>
    </row>
    <row r="32" customFormat="false" ht="15" hidden="false" customHeight="false" outlineLevel="0" collapsed="false">
      <c r="A32" s="2" t="n">
        <v>46112</v>
      </c>
      <c r="B32" s="3" t="s">
        <v>15</v>
      </c>
      <c r="C32" s="4" t="n">
        <v>1107.16</v>
      </c>
      <c r="D32" s="4" t="n">
        <v>377.73</v>
      </c>
      <c r="E32" s="4" t="n">
        <v>264.98</v>
      </c>
      <c r="F32" s="4" t="n">
        <v>0</v>
      </c>
      <c r="G32" s="4" t="n">
        <f aca="false">SUM(C32:F32)</f>
        <v>1749.87</v>
      </c>
      <c r="H32" s="4" t="n">
        <v>30.01</v>
      </c>
      <c r="I32" s="4" t="n">
        <f aca="false">G32-H32</f>
        <v>1719.86</v>
      </c>
      <c r="J32" s="4" t="n">
        <f aca="false">I32*0.06</f>
        <v>103.1916</v>
      </c>
      <c r="K32" s="4" t="n">
        <f aca="false">I32+J32</f>
        <v>1823.0516</v>
      </c>
      <c r="L32" s="3" t="n">
        <v>85</v>
      </c>
      <c r="M32" s="4" t="n">
        <f aca="false">G32/L32</f>
        <v>20.5867058823529</v>
      </c>
    </row>
    <row r="33" customFormat="false" ht="15" hidden="false" customHeight="false" outlineLevel="0" collapsed="false">
      <c r="A33" s="5" t="s">
        <v>20</v>
      </c>
      <c r="B33" s="5"/>
      <c r="C33" s="6" t="n">
        <f aca="false">SUM(C2:C32)</f>
        <v>38363.67</v>
      </c>
      <c r="D33" s="6" t="n">
        <f aca="false">SUM(D2:D32)</f>
        <v>11988.33</v>
      </c>
      <c r="E33" s="6" t="n">
        <f aca="false">SUM(E2:E32)</f>
        <v>9364.19</v>
      </c>
      <c r="F33" s="6" t="n">
        <f aca="false">SUM(F2:F32)</f>
        <v>918.15</v>
      </c>
      <c r="G33" s="6" t="n">
        <f aca="false">SUM(G2:G32)</f>
        <v>60634.34</v>
      </c>
      <c r="H33" s="6" t="n">
        <f aca="false">SUM(H2:H32)</f>
        <v>2096.47</v>
      </c>
      <c r="I33" s="6" t="n">
        <f aca="false">SUM(I2:I32)</f>
        <v>58537.87</v>
      </c>
      <c r="J33" s="6" t="n">
        <f aca="false">SUM(J2:J32)</f>
        <v>3512.2722</v>
      </c>
      <c r="K33" s="6" t="n">
        <f aca="false">SUM(K2:K32)</f>
        <v>62050.1422</v>
      </c>
      <c r="L33" s="5" t="n">
        <f aca="false">SUM(L2:L32)</f>
        <v>2231</v>
      </c>
      <c r="M33" s="6" t="n">
        <f aca="false">G33/L33</f>
        <v>27.1780995069476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26.85" hidden="false" customHeight="false" outlineLevel="0" collapsed="false">
      <c r="A1" s="7" t="s">
        <v>0</v>
      </c>
      <c r="B1" s="7" t="s">
        <v>1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8</v>
      </c>
      <c r="J1" s="7" t="s">
        <v>27</v>
      </c>
      <c r="K1" s="7" t="s">
        <v>28</v>
      </c>
      <c r="L1" s="7" t="s">
        <v>29</v>
      </c>
    </row>
    <row r="2" customFormat="false" ht="15" hidden="false" customHeight="false" outlineLevel="0" collapsed="false">
      <c r="A2" s="2" t="n">
        <v>46082</v>
      </c>
      <c r="B2" s="3" t="s">
        <v>13</v>
      </c>
      <c r="C2" s="3" t="n">
        <v>51.5</v>
      </c>
      <c r="D2" s="3" t="n">
        <v>36</v>
      </c>
      <c r="E2" s="3" t="n">
        <f aca="false">C2+D2</f>
        <v>87.5</v>
      </c>
      <c r="F2" s="4" t="n">
        <f aca="false">C2*14.5</f>
        <v>746.75</v>
      </c>
      <c r="G2" s="4" t="n">
        <f aca="false">D2*16.75</f>
        <v>603</v>
      </c>
      <c r="H2" s="4" t="n">
        <f aca="false">F2+G2</f>
        <v>1349.75</v>
      </c>
      <c r="I2" s="4" t="n">
        <f aca="false">'Daily Sales'!I2</f>
        <v>2031.91</v>
      </c>
      <c r="J2" s="8" t="n">
        <f aca="false">IF(I2=0,0,H2/I2)</f>
        <v>0.664276468938093</v>
      </c>
      <c r="K2" s="3" t="n">
        <v>0</v>
      </c>
      <c r="L2" s="4" t="n">
        <f aca="false">K2*16.75*1.5</f>
        <v>0</v>
      </c>
    </row>
    <row r="3" customFormat="false" ht="15" hidden="false" customHeight="false" outlineLevel="0" collapsed="false">
      <c r="A3" s="2" t="n">
        <v>46083</v>
      </c>
      <c r="B3" s="3" t="s">
        <v>14</v>
      </c>
      <c r="C3" s="3" t="n">
        <v>31.4</v>
      </c>
      <c r="D3" s="3" t="n">
        <v>21.8</v>
      </c>
      <c r="E3" s="3" t="n">
        <f aca="false">C3+D3</f>
        <v>53.2</v>
      </c>
      <c r="F3" s="4" t="n">
        <f aca="false">C3*14.5</f>
        <v>455.3</v>
      </c>
      <c r="G3" s="4" t="n">
        <f aca="false">D3*16.75</f>
        <v>365.15</v>
      </c>
      <c r="H3" s="4" t="n">
        <f aca="false">F3+G3</f>
        <v>820.45</v>
      </c>
      <c r="I3" s="4" t="n">
        <f aca="false">'Daily Sales'!I3</f>
        <v>1714.28</v>
      </c>
      <c r="J3" s="8" t="n">
        <f aca="false">IF(I3=0,0,H3/I3)</f>
        <v>0.478597428658096</v>
      </c>
      <c r="K3" s="3" t="n">
        <v>0</v>
      </c>
      <c r="L3" s="4" t="n">
        <f aca="false">K3*16.75*1.5</f>
        <v>0</v>
      </c>
    </row>
    <row r="4" customFormat="false" ht="15" hidden="false" customHeight="false" outlineLevel="0" collapsed="false">
      <c r="A4" s="2" t="n">
        <v>46084</v>
      </c>
      <c r="B4" s="3" t="s">
        <v>15</v>
      </c>
      <c r="C4" s="3" t="n">
        <v>31.1</v>
      </c>
      <c r="D4" s="3" t="n">
        <v>31.9</v>
      </c>
      <c r="E4" s="3" t="n">
        <f aca="false">C4+D4</f>
        <v>63</v>
      </c>
      <c r="F4" s="4" t="n">
        <f aca="false">C4*14.5</f>
        <v>450.95</v>
      </c>
      <c r="G4" s="4" t="n">
        <f aca="false">D4*16.75</f>
        <v>534.325</v>
      </c>
      <c r="H4" s="4" t="n">
        <f aca="false">F4+G4</f>
        <v>985.275</v>
      </c>
      <c r="I4" s="4" t="n">
        <f aca="false">'Daily Sales'!I4</f>
        <v>1555.39</v>
      </c>
      <c r="J4" s="8" t="n">
        <f aca="false">IF(I4=0,0,H4/I4)</f>
        <v>0.633458489510669</v>
      </c>
      <c r="K4" s="3" t="n">
        <v>2.5</v>
      </c>
      <c r="L4" s="4" t="n">
        <f aca="false">K4*16.75*1.5</f>
        <v>62.8125</v>
      </c>
    </row>
    <row r="5" customFormat="false" ht="15" hidden="false" customHeight="false" outlineLevel="0" collapsed="false">
      <c r="A5" s="2" t="n">
        <v>46085</v>
      </c>
      <c r="B5" s="3" t="s">
        <v>16</v>
      </c>
      <c r="C5" s="3" t="n">
        <v>39.3</v>
      </c>
      <c r="D5" s="3" t="n">
        <v>22.5</v>
      </c>
      <c r="E5" s="3" t="n">
        <f aca="false">C5+D5</f>
        <v>61.8</v>
      </c>
      <c r="F5" s="4" t="n">
        <f aca="false">C5*14.5</f>
        <v>569.85</v>
      </c>
      <c r="G5" s="4" t="n">
        <f aca="false">D5*16.75</f>
        <v>376.875</v>
      </c>
      <c r="H5" s="4" t="n">
        <f aca="false">F5+G5</f>
        <v>946.725</v>
      </c>
      <c r="I5" s="4" t="n">
        <f aca="false">'Daily Sales'!I5</f>
        <v>1311.05</v>
      </c>
      <c r="J5" s="8" t="n">
        <f aca="false">IF(I5=0,0,H5/I5)</f>
        <v>0.722112047595439</v>
      </c>
      <c r="K5" s="3" t="n">
        <v>0</v>
      </c>
      <c r="L5" s="4" t="n">
        <f aca="false">K5*16.75*1.5</f>
        <v>0</v>
      </c>
    </row>
    <row r="6" customFormat="false" ht="15" hidden="false" customHeight="false" outlineLevel="0" collapsed="false">
      <c r="A6" s="2" t="n">
        <v>46086</v>
      </c>
      <c r="B6" s="3" t="s">
        <v>17</v>
      </c>
      <c r="C6" s="3" t="n">
        <v>28.4</v>
      </c>
      <c r="D6" s="3" t="n">
        <v>28</v>
      </c>
      <c r="E6" s="3" t="n">
        <f aca="false">C6+D6</f>
        <v>56.4</v>
      </c>
      <c r="F6" s="4" t="n">
        <f aca="false">C6*14.5</f>
        <v>411.8</v>
      </c>
      <c r="G6" s="4" t="n">
        <f aca="false">D6*16.75</f>
        <v>469</v>
      </c>
      <c r="H6" s="4" t="n">
        <f aca="false">F6+G6</f>
        <v>880.8</v>
      </c>
      <c r="I6" s="4" t="n">
        <f aca="false">'Daily Sales'!I6</f>
        <v>1634.16</v>
      </c>
      <c r="J6" s="8" t="n">
        <f aca="false">IF(I6=0,0,H6/I6)</f>
        <v>0.53899250991335</v>
      </c>
      <c r="K6" s="3" t="n">
        <v>2.3</v>
      </c>
      <c r="L6" s="4" t="n">
        <f aca="false">K6*16.75*1.5</f>
        <v>57.7875</v>
      </c>
    </row>
    <row r="7" customFormat="false" ht="15" hidden="false" customHeight="false" outlineLevel="0" collapsed="false">
      <c r="A7" s="2" t="n">
        <v>46087</v>
      </c>
      <c r="B7" s="3" t="s">
        <v>18</v>
      </c>
      <c r="C7" s="3" t="n">
        <v>52.1</v>
      </c>
      <c r="D7" s="3" t="n">
        <v>44.1</v>
      </c>
      <c r="E7" s="3" t="n">
        <f aca="false">C7+D7</f>
        <v>96.2</v>
      </c>
      <c r="F7" s="4" t="n">
        <f aca="false">C7*14.5</f>
        <v>755.45</v>
      </c>
      <c r="G7" s="4" t="n">
        <f aca="false">D7*16.75</f>
        <v>738.675</v>
      </c>
      <c r="H7" s="4" t="n">
        <f aca="false">F7+G7</f>
        <v>1494.125</v>
      </c>
      <c r="I7" s="4" t="n">
        <f aca="false">'Daily Sales'!I7</f>
        <v>2310.33</v>
      </c>
      <c r="J7" s="8" t="n">
        <f aca="false">IF(I7=0,0,H7/I7)</f>
        <v>0.646714971454295</v>
      </c>
      <c r="K7" s="3" t="n">
        <v>0</v>
      </c>
      <c r="L7" s="4" t="n">
        <f aca="false">K7*16.75*1.5</f>
        <v>0</v>
      </c>
    </row>
    <row r="8" customFormat="false" ht="15" hidden="false" customHeight="false" outlineLevel="0" collapsed="false">
      <c r="A8" s="2" t="n">
        <v>46088</v>
      </c>
      <c r="B8" s="3" t="s">
        <v>19</v>
      </c>
      <c r="C8" s="3" t="n">
        <v>53.2</v>
      </c>
      <c r="D8" s="3" t="n">
        <v>43.3</v>
      </c>
      <c r="E8" s="3" t="n">
        <f aca="false">C8+D8</f>
        <v>96.5</v>
      </c>
      <c r="F8" s="4" t="n">
        <f aca="false">C8*14.5</f>
        <v>771.4</v>
      </c>
      <c r="G8" s="4" t="n">
        <f aca="false">D8*16.75</f>
        <v>725.275</v>
      </c>
      <c r="H8" s="4" t="n">
        <f aca="false">F8+G8</f>
        <v>1496.675</v>
      </c>
      <c r="I8" s="4" t="n">
        <f aca="false">'Daily Sales'!I8</f>
        <v>2454.72</v>
      </c>
      <c r="J8" s="8" t="n">
        <f aca="false">IF(I8=0,0,H8/I8)</f>
        <v>0.609713124103767</v>
      </c>
      <c r="K8" s="3" t="n">
        <v>0</v>
      </c>
      <c r="L8" s="4" t="n">
        <f aca="false">K8*16.75*1.5</f>
        <v>0</v>
      </c>
    </row>
    <row r="9" customFormat="false" ht="15" hidden="false" customHeight="false" outlineLevel="0" collapsed="false">
      <c r="A9" s="2" t="n">
        <v>46089</v>
      </c>
      <c r="B9" s="3" t="s">
        <v>13</v>
      </c>
      <c r="C9" s="3" t="n">
        <v>40.9</v>
      </c>
      <c r="D9" s="3" t="n">
        <v>31.1</v>
      </c>
      <c r="E9" s="3" t="n">
        <f aca="false">C9+D9</f>
        <v>72</v>
      </c>
      <c r="F9" s="4" t="n">
        <f aca="false">C9*14.5</f>
        <v>593.05</v>
      </c>
      <c r="G9" s="4" t="n">
        <f aca="false">D9*16.75</f>
        <v>520.925</v>
      </c>
      <c r="H9" s="4" t="n">
        <f aca="false">F9+G9</f>
        <v>1113.975</v>
      </c>
      <c r="I9" s="4" t="n">
        <f aca="false">'Daily Sales'!I9</f>
        <v>2591.41</v>
      </c>
      <c r="J9" s="8" t="n">
        <f aca="false">IF(I9=0,0,H9/I9)</f>
        <v>0.42987215454135</v>
      </c>
      <c r="K9" s="3" t="n">
        <v>0</v>
      </c>
      <c r="L9" s="4" t="n">
        <f aca="false">K9*16.75*1.5</f>
        <v>0</v>
      </c>
    </row>
    <row r="10" customFormat="false" ht="15" hidden="false" customHeight="false" outlineLevel="0" collapsed="false">
      <c r="A10" s="2" t="n">
        <v>46090</v>
      </c>
      <c r="B10" s="3" t="s">
        <v>14</v>
      </c>
      <c r="C10" s="3" t="n">
        <v>31.4</v>
      </c>
      <c r="D10" s="3" t="n">
        <v>20.2</v>
      </c>
      <c r="E10" s="3" t="n">
        <f aca="false">C10+D10</f>
        <v>51.6</v>
      </c>
      <c r="F10" s="4" t="n">
        <f aca="false">C10*14.5</f>
        <v>455.3</v>
      </c>
      <c r="G10" s="4" t="n">
        <f aca="false">D10*16.75</f>
        <v>338.35</v>
      </c>
      <c r="H10" s="4" t="n">
        <f aca="false">F10+G10</f>
        <v>793.65</v>
      </c>
      <c r="I10" s="4" t="n">
        <f aca="false">'Daily Sales'!I10</f>
        <v>1132.42</v>
      </c>
      <c r="J10" s="8" t="n">
        <f aca="false">IF(I10=0,0,H10/I10)</f>
        <v>0.700844209745501</v>
      </c>
      <c r="K10" s="3" t="n">
        <v>0</v>
      </c>
      <c r="L10" s="4" t="n">
        <f aca="false">K10*16.75*1.5</f>
        <v>0</v>
      </c>
    </row>
    <row r="11" customFormat="false" ht="15" hidden="false" customHeight="false" outlineLevel="0" collapsed="false">
      <c r="A11" s="2" t="n">
        <v>46091</v>
      </c>
      <c r="B11" s="3" t="s">
        <v>15</v>
      </c>
      <c r="C11" s="3" t="n">
        <v>31.9</v>
      </c>
      <c r="D11" s="3" t="n">
        <v>24.7</v>
      </c>
      <c r="E11" s="3" t="n">
        <f aca="false">C11+D11</f>
        <v>56.6</v>
      </c>
      <c r="F11" s="4" t="n">
        <f aca="false">C11*14.5</f>
        <v>462.55</v>
      </c>
      <c r="G11" s="4" t="n">
        <f aca="false">D11*16.75</f>
        <v>413.725</v>
      </c>
      <c r="H11" s="4" t="n">
        <f aca="false">F11+G11</f>
        <v>876.275</v>
      </c>
      <c r="I11" s="4" t="n">
        <f aca="false">'Daily Sales'!I11</f>
        <v>1312.92</v>
      </c>
      <c r="J11" s="8" t="n">
        <f aca="false">IF(I11=0,0,H11/I11)</f>
        <v>0.66742451939189</v>
      </c>
      <c r="K11" s="3" t="n">
        <v>3.4</v>
      </c>
      <c r="L11" s="4" t="n">
        <f aca="false">K11*16.75*1.5</f>
        <v>85.425</v>
      </c>
    </row>
    <row r="12" customFormat="false" ht="15" hidden="false" customHeight="false" outlineLevel="0" collapsed="false">
      <c r="A12" s="2" t="n">
        <v>46092</v>
      </c>
      <c r="B12" s="3" t="s">
        <v>16</v>
      </c>
      <c r="C12" s="3" t="n">
        <v>32.5</v>
      </c>
      <c r="D12" s="3" t="n">
        <v>28.9</v>
      </c>
      <c r="E12" s="3" t="n">
        <f aca="false">C12+D12</f>
        <v>61.4</v>
      </c>
      <c r="F12" s="4" t="n">
        <f aca="false">C12*14.5</f>
        <v>471.25</v>
      </c>
      <c r="G12" s="4" t="n">
        <f aca="false">D12*16.75</f>
        <v>484.075</v>
      </c>
      <c r="H12" s="4" t="n">
        <f aca="false">F12+G12</f>
        <v>955.325</v>
      </c>
      <c r="I12" s="4" t="n">
        <f aca="false">'Daily Sales'!I12</f>
        <v>1829.18</v>
      </c>
      <c r="J12" s="8" t="n">
        <f aca="false">IF(I12=0,0,H12/I12)</f>
        <v>0.522269541543205</v>
      </c>
      <c r="K12" s="3" t="n">
        <v>0</v>
      </c>
      <c r="L12" s="4" t="n">
        <f aca="false">K12*16.75*1.5</f>
        <v>0</v>
      </c>
    </row>
    <row r="13" customFormat="false" ht="15" hidden="false" customHeight="false" outlineLevel="0" collapsed="false">
      <c r="A13" s="2" t="n">
        <v>46093</v>
      </c>
      <c r="B13" s="3" t="s">
        <v>17</v>
      </c>
      <c r="C13" s="3" t="n">
        <v>30.6</v>
      </c>
      <c r="D13" s="3" t="n">
        <v>22.3</v>
      </c>
      <c r="E13" s="3" t="n">
        <f aca="false">C13+D13</f>
        <v>52.9</v>
      </c>
      <c r="F13" s="4" t="n">
        <f aca="false">C13*14.5</f>
        <v>443.7</v>
      </c>
      <c r="G13" s="4" t="n">
        <f aca="false">D13*16.75</f>
        <v>373.525</v>
      </c>
      <c r="H13" s="4" t="n">
        <f aca="false">F13+G13</f>
        <v>817.225</v>
      </c>
      <c r="I13" s="4" t="n">
        <f aca="false">'Daily Sales'!I13</f>
        <v>1531.78</v>
      </c>
      <c r="J13" s="8" t="n">
        <f aca="false">IF(I13=0,0,H13/I13)</f>
        <v>0.533513298254319</v>
      </c>
      <c r="K13" s="3" t="n">
        <v>0</v>
      </c>
      <c r="L13" s="4" t="n">
        <f aca="false">K13*16.75*1.5</f>
        <v>0</v>
      </c>
    </row>
    <row r="14" customFormat="false" ht="15" hidden="false" customHeight="false" outlineLevel="0" collapsed="false">
      <c r="A14" s="2" t="n">
        <v>46094</v>
      </c>
      <c r="B14" s="3" t="s">
        <v>18</v>
      </c>
      <c r="C14" s="3" t="n">
        <v>38.8</v>
      </c>
      <c r="D14" s="3" t="n">
        <v>30.5</v>
      </c>
      <c r="E14" s="3" t="n">
        <f aca="false">C14+D14</f>
        <v>69.3</v>
      </c>
      <c r="F14" s="4" t="n">
        <f aca="false">C14*14.5</f>
        <v>562.6</v>
      </c>
      <c r="G14" s="4" t="n">
        <f aca="false">D14*16.75</f>
        <v>510.875</v>
      </c>
      <c r="H14" s="4" t="n">
        <f aca="false">F14+G14</f>
        <v>1073.475</v>
      </c>
      <c r="I14" s="4" t="n">
        <f aca="false">'Daily Sales'!I14</f>
        <v>2571.72</v>
      </c>
      <c r="J14" s="8" t="n">
        <f aca="false">IF(I14=0,0,H14/I14)</f>
        <v>0.4174151929448</v>
      </c>
      <c r="K14" s="3" t="n">
        <v>0</v>
      </c>
      <c r="L14" s="4" t="n">
        <f aca="false">K14*16.75*1.5</f>
        <v>0</v>
      </c>
    </row>
    <row r="15" customFormat="false" ht="15" hidden="false" customHeight="false" outlineLevel="0" collapsed="false">
      <c r="A15" s="2" t="n">
        <v>46095</v>
      </c>
      <c r="B15" s="3" t="s">
        <v>19</v>
      </c>
      <c r="C15" s="3" t="n">
        <v>41.9</v>
      </c>
      <c r="D15" s="3" t="n">
        <v>41.3</v>
      </c>
      <c r="E15" s="3" t="n">
        <f aca="false">C15+D15</f>
        <v>83.2</v>
      </c>
      <c r="F15" s="4" t="n">
        <f aca="false">C15*14.5</f>
        <v>607.55</v>
      </c>
      <c r="G15" s="4" t="n">
        <f aca="false">D15*16.75</f>
        <v>691.775</v>
      </c>
      <c r="H15" s="4" t="n">
        <f aca="false">F15+G15</f>
        <v>1299.325</v>
      </c>
      <c r="I15" s="4" t="n">
        <f aca="false">'Daily Sales'!I15</f>
        <v>1852.88</v>
      </c>
      <c r="J15" s="8" t="n">
        <f aca="false">IF(I15=0,0,H15/I15)</f>
        <v>0.701246168127456</v>
      </c>
      <c r="K15" s="3" t="n">
        <v>0</v>
      </c>
      <c r="L15" s="4" t="n">
        <f aca="false">K15*16.75*1.5</f>
        <v>0</v>
      </c>
    </row>
    <row r="16" customFormat="false" ht="15" hidden="false" customHeight="false" outlineLevel="0" collapsed="false">
      <c r="A16" s="2" t="n">
        <v>46096</v>
      </c>
      <c r="B16" s="3" t="s">
        <v>13</v>
      </c>
      <c r="C16" s="3" t="n">
        <v>45.5</v>
      </c>
      <c r="D16" s="3" t="n">
        <v>40.4</v>
      </c>
      <c r="E16" s="3" t="n">
        <f aca="false">C16+D16</f>
        <v>85.9</v>
      </c>
      <c r="F16" s="4" t="n">
        <f aca="false">C16*14.5</f>
        <v>659.75</v>
      </c>
      <c r="G16" s="4" t="n">
        <f aca="false">D16*16.75</f>
        <v>676.7</v>
      </c>
      <c r="H16" s="4" t="n">
        <f aca="false">F16+G16</f>
        <v>1336.45</v>
      </c>
      <c r="I16" s="4" t="n">
        <f aca="false">'Daily Sales'!I16</f>
        <v>2668.65</v>
      </c>
      <c r="J16" s="8" t="n">
        <f aca="false">IF(I16=0,0,H16/I16)</f>
        <v>0.500796282764694</v>
      </c>
      <c r="K16" s="3" t="n">
        <v>0</v>
      </c>
      <c r="L16" s="4" t="n">
        <f aca="false">K16*16.75*1.5</f>
        <v>0</v>
      </c>
    </row>
    <row r="17" customFormat="false" ht="15" hidden="false" customHeight="false" outlineLevel="0" collapsed="false">
      <c r="A17" s="2" t="n">
        <v>46097</v>
      </c>
      <c r="B17" s="3" t="s">
        <v>14</v>
      </c>
      <c r="C17" s="3" t="n">
        <v>36.9</v>
      </c>
      <c r="D17" s="3" t="n">
        <v>21.6</v>
      </c>
      <c r="E17" s="3" t="n">
        <f aca="false">C17+D17</f>
        <v>58.5</v>
      </c>
      <c r="F17" s="4" t="n">
        <f aca="false">C17*14.5</f>
        <v>535.05</v>
      </c>
      <c r="G17" s="4" t="n">
        <f aca="false">D17*16.75</f>
        <v>361.8</v>
      </c>
      <c r="H17" s="4" t="n">
        <f aca="false">F17+G17</f>
        <v>896.85</v>
      </c>
      <c r="I17" s="4" t="n">
        <f aca="false">'Daily Sales'!I17</f>
        <v>1279.2</v>
      </c>
      <c r="J17" s="8" t="n">
        <f aca="false">IF(I17=0,0,H17/I17)</f>
        <v>0.70110225140713</v>
      </c>
      <c r="K17" s="3" t="n">
        <v>0</v>
      </c>
      <c r="L17" s="4" t="n">
        <f aca="false">K17*16.75*1.5</f>
        <v>0</v>
      </c>
    </row>
    <row r="18" customFormat="false" ht="15" hidden="false" customHeight="false" outlineLevel="0" collapsed="false">
      <c r="A18" s="2" t="n">
        <v>46098</v>
      </c>
      <c r="B18" s="3" t="s">
        <v>15</v>
      </c>
      <c r="C18" s="3" t="n">
        <v>28.4</v>
      </c>
      <c r="D18" s="3" t="n">
        <v>25.1</v>
      </c>
      <c r="E18" s="3" t="n">
        <f aca="false">C18+D18</f>
        <v>53.5</v>
      </c>
      <c r="F18" s="4" t="n">
        <f aca="false">C18*14.5</f>
        <v>411.8</v>
      </c>
      <c r="G18" s="4" t="n">
        <f aca="false">D18*16.75</f>
        <v>420.425</v>
      </c>
      <c r="H18" s="4" t="n">
        <f aca="false">F18+G18</f>
        <v>832.225</v>
      </c>
      <c r="I18" s="4" t="n">
        <f aca="false">'Daily Sales'!I18</f>
        <v>1379.38</v>
      </c>
      <c r="J18" s="8" t="n">
        <f aca="false">IF(I18=0,0,H18/I18)</f>
        <v>0.603332656700837</v>
      </c>
      <c r="K18" s="3" t="n">
        <v>0</v>
      </c>
      <c r="L18" s="4" t="n">
        <f aca="false">K18*16.75*1.5</f>
        <v>0</v>
      </c>
    </row>
    <row r="19" customFormat="false" ht="15" hidden="false" customHeight="false" outlineLevel="0" collapsed="false">
      <c r="A19" s="2" t="n">
        <v>46099</v>
      </c>
      <c r="B19" s="3" t="s">
        <v>16</v>
      </c>
      <c r="C19" s="3" t="n">
        <v>27.2</v>
      </c>
      <c r="D19" s="3" t="n">
        <v>27.8</v>
      </c>
      <c r="E19" s="3" t="n">
        <f aca="false">C19+D19</f>
        <v>55</v>
      </c>
      <c r="F19" s="4" t="n">
        <f aca="false">C19*14.5</f>
        <v>394.4</v>
      </c>
      <c r="G19" s="4" t="n">
        <f aca="false">D19*16.75</f>
        <v>465.65</v>
      </c>
      <c r="H19" s="4" t="n">
        <f aca="false">F19+G19</f>
        <v>860.05</v>
      </c>
      <c r="I19" s="4" t="n">
        <f aca="false">'Daily Sales'!I19</f>
        <v>1622.08</v>
      </c>
      <c r="J19" s="8" t="n">
        <f aca="false">IF(I19=0,0,H19/I19)</f>
        <v>0.530214292759913</v>
      </c>
      <c r="K19" s="3" t="n">
        <v>3.9</v>
      </c>
      <c r="L19" s="4" t="n">
        <f aca="false">K19*16.75*1.5</f>
        <v>97.9875</v>
      </c>
    </row>
    <row r="20" customFormat="false" ht="15" hidden="false" customHeight="false" outlineLevel="0" collapsed="false">
      <c r="A20" s="2" t="n">
        <v>46100</v>
      </c>
      <c r="B20" s="3" t="s">
        <v>17</v>
      </c>
      <c r="C20" s="3" t="n">
        <v>37</v>
      </c>
      <c r="D20" s="3" t="n">
        <v>21.1</v>
      </c>
      <c r="E20" s="3" t="n">
        <f aca="false">C20+D20</f>
        <v>58.1</v>
      </c>
      <c r="F20" s="4" t="n">
        <f aca="false">C20*14.5</f>
        <v>536.5</v>
      </c>
      <c r="G20" s="4" t="n">
        <f aca="false">D20*16.75</f>
        <v>353.425</v>
      </c>
      <c r="H20" s="4" t="n">
        <f aca="false">F20+G20</f>
        <v>889.925</v>
      </c>
      <c r="I20" s="4" t="n">
        <f aca="false">'Daily Sales'!I20</f>
        <v>1585.6</v>
      </c>
      <c r="J20" s="8" t="n">
        <f aca="false">IF(I20=0,0,H20/I20)</f>
        <v>0.561254414732593</v>
      </c>
      <c r="K20" s="3" t="n">
        <v>4.3</v>
      </c>
      <c r="L20" s="4" t="n">
        <f aca="false">K20*16.75*1.5</f>
        <v>108.0375</v>
      </c>
    </row>
    <row r="21" customFormat="false" ht="15" hidden="false" customHeight="false" outlineLevel="0" collapsed="false">
      <c r="A21" s="2" t="n">
        <v>46101</v>
      </c>
      <c r="B21" s="3" t="s">
        <v>18</v>
      </c>
      <c r="C21" s="3" t="n">
        <v>52</v>
      </c>
      <c r="D21" s="3" t="n">
        <v>32.3</v>
      </c>
      <c r="E21" s="3" t="n">
        <f aca="false">C21+D21</f>
        <v>84.3</v>
      </c>
      <c r="F21" s="4" t="n">
        <f aca="false">C21*14.5</f>
        <v>754</v>
      </c>
      <c r="G21" s="4" t="n">
        <f aca="false">D21*16.75</f>
        <v>541.025</v>
      </c>
      <c r="H21" s="4" t="n">
        <f aca="false">F21+G21</f>
        <v>1295.025</v>
      </c>
      <c r="I21" s="4" t="n">
        <f aca="false">'Daily Sales'!I21</f>
        <v>2356.72</v>
      </c>
      <c r="J21" s="8" t="n">
        <f aca="false">IF(I21=0,0,H21/I21)</f>
        <v>0.549503122984487</v>
      </c>
      <c r="K21" s="3" t="n">
        <v>0</v>
      </c>
      <c r="L21" s="4" t="n">
        <f aca="false">K21*16.75*1.5</f>
        <v>0</v>
      </c>
    </row>
    <row r="22" customFormat="false" ht="15" hidden="false" customHeight="false" outlineLevel="0" collapsed="false">
      <c r="A22" s="2" t="n">
        <v>46102</v>
      </c>
      <c r="B22" s="3" t="s">
        <v>19</v>
      </c>
      <c r="C22" s="3" t="n">
        <v>50.9</v>
      </c>
      <c r="D22" s="3" t="n">
        <v>39.7</v>
      </c>
      <c r="E22" s="3" t="n">
        <f aca="false">C22+D22</f>
        <v>90.6</v>
      </c>
      <c r="F22" s="4" t="n">
        <f aca="false">C22*14.5</f>
        <v>738.05</v>
      </c>
      <c r="G22" s="4" t="n">
        <f aca="false">D22*16.75</f>
        <v>664.975</v>
      </c>
      <c r="H22" s="4" t="n">
        <f aca="false">F22+G22</f>
        <v>1403.025</v>
      </c>
      <c r="I22" s="4" t="n">
        <f aca="false">'Daily Sales'!I22</f>
        <v>1947.14</v>
      </c>
      <c r="J22" s="8" t="n">
        <f aca="false">IF(I22=0,0,H22/I22)</f>
        <v>0.720556816664441</v>
      </c>
      <c r="K22" s="3" t="n">
        <v>0</v>
      </c>
      <c r="L22" s="4" t="n">
        <f aca="false">K22*16.75*1.5</f>
        <v>0</v>
      </c>
    </row>
    <row r="23" customFormat="false" ht="15" hidden="false" customHeight="false" outlineLevel="0" collapsed="false">
      <c r="A23" s="2" t="n">
        <v>46103</v>
      </c>
      <c r="B23" s="3" t="s">
        <v>13</v>
      </c>
      <c r="C23" s="3" t="n">
        <v>52.8</v>
      </c>
      <c r="D23" s="3" t="n">
        <v>40.8</v>
      </c>
      <c r="E23" s="3" t="n">
        <f aca="false">C23+D23</f>
        <v>93.6</v>
      </c>
      <c r="F23" s="4" t="n">
        <f aca="false">C23*14.5</f>
        <v>765.6</v>
      </c>
      <c r="G23" s="4" t="n">
        <f aca="false">D23*16.75</f>
        <v>683.4</v>
      </c>
      <c r="H23" s="4" t="n">
        <f aca="false">F23+G23</f>
        <v>1449</v>
      </c>
      <c r="I23" s="4" t="n">
        <f aca="false">'Daily Sales'!I23</f>
        <v>2655.48</v>
      </c>
      <c r="J23" s="8" t="n">
        <f aca="false">IF(I23=0,0,H23/I23)</f>
        <v>0.545664060734783</v>
      </c>
      <c r="K23" s="3" t="n">
        <v>4.6</v>
      </c>
      <c r="L23" s="4" t="n">
        <f aca="false">K23*16.75*1.5</f>
        <v>115.575</v>
      </c>
    </row>
    <row r="24" customFormat="false" ht="15" hidden="false" customHeight="false" outlineLevel="0" collapsed="false">
      <c r="A24" s="2" t="n">
        <v>46104</v>
      </c>
      <c r="B24" s="3" t="s">
        <v>14</v>
      </c>
      <c r="C24" s="3" t="n">
        <v>33.8</v>
      </c>
      <c r="D24" s="3" t="n">
        <v>24.8</v>
      </c>
      <c r="E24" s="3" t="n">
        <f aca="false">C24+D24</f>
        <v>58.6</v>
      </c>
      <c r="F24" s="4" t="n">
        <f aca="false">C24*14.5</f>
        <v>490.1</v>
      </c>
      <c r="G24" s="4" t="n">
        <f aca="false">D24*16.75</f>
        <v>415.4</v>
      </c>
      <c r="H24" s="4" t="n">
        <f aca="false">F24+G24</f>
        <v>905.5</v>
      </c>
      <c r="I24" s="4" t="n">
        <f aca="false">'Daily Sales'!I24</f>
        <v>1447.22</v>
      </c>
      <c r="J24" s="8" t="n">
        <f aca="false">IF(I24=0,0,H24/I24)</f>
        <v>0.625682342698415</v>
      </c>
      <c r="K24" s="3" t="n">
        <v>0</v>
      </c>
      <c r="L24" s="4" t="n">
        <f aca="false">K24*16.75*1.5</f>
        <v>0</v>
      </c>
    </row>
    <row r="25" customFormat="false" ht="15" hidden="false" customHeight="false" outlineLevel="0" collapsed="false">
      <c r="A25" s="2" t="n">
        <v>46105</v>
      </c>
      <c r="B25" s="3" t="s">
        <v>15</v>
      </c>
      <c r="C25" s="3" t="n">
        <v>29.5</v>
      </c>
      <c r="D25" s="3" t="n">
        <v>28.8</v>
      </c>
      <c r="E25" s="3" t="n">
        <f aca="false">C25+D25</f>
        <v>58.3</v>
      </c>
      <c r="F25" s="4" t="n">
        <f aca="false">C25*14.5</f>
        <v>427.75</v>
      </c>
      <c r="G25" s="4" t="n">
        <f aca="false">D25*16.75</f>
        <v>482.4</v>
      </c>
      <c r="H25" s="4" t="n">
        <f aca="false">F25+G25</f>
        <v>910.15</v>
      </c>
      <c r="I25" s="4" t="n">
        <f aca="false">'Daily Sales'!I25</f>
        <v>1498.41</v>
      </c>
      <c r="J25" s="8" t="n">
        <f aca="false">IF(I25=0,0,H25/I25)</f>
        <v>0.607410521819796</v>
      </c>
      <c r="K25" s="3" t="n">
        <v>0</v>
      </c>
      <c r="L25" s="4" t="n">
        <f aca="false">K25*16.75*1.5</f>
        <v>0</v>
      </c>
    </row>
    <row r="26" customFormat="false" ht="15" hidden="false" customHeight="false" outlineLevel="0" collapsed="false">
      <c r="A26" s="2" t="n">
        <v>46106</v>
      </c>
      <c r="B26" s="3" t="s">
        <v>16</v>
      </c>
      <c r="C26" s="3" t="n">
        <v>26.9</v>
      </c>
      <c r="D26" s="3" t="n">
        <v>21.6</v>
      </c>
      <c r="E26" s="3" t="n">
        <f aca="false">C26+D26</f>
        <v>48.5</v>
      </c>
      <c r="F26" s="4" t="n">
        <f aca="false">C26*14.5</f>
        <v>390.05</v>
      </c>
      <c r="G26" s="4" t="n">
        <f aca="false">D26*16.75</f>
        <v>361.8</v>
      </c>
      <c r="H26" s="4" t="n">
        <f aca="false">F26+G26</f>
        <v>751.85</v>
      </c>
      <c r="I26" s="4" t="n">
        <f aca="false">'Daily Sales'!I26</f>
        <v>1290.49</v>
      </c>
      <c r="J26" s="8" t="n">
        <f aca="false">IF(I26=0,0,H26/I26)</f>
        <v>0.582608156591682</v>
      </c>
      <c r="K26" s="3" t="n">
        <v>0</v>
      </c>
      <c r="L26" s="4" t="n">
        <f aca="false">K26*16.75*1.5</f>
        <v>0</v>
      </c>
    </row>
    <row r="27" customFormat="false" ht="15" hidden="false" customHeight="false" outlineLevel="0" collapsed="false">
      <c r="A27" s="2" t="n">
        <v>46107</v>
      </c>
      <c r="B27" s="3" t="s">
        <v>17</v>
      </c>
      <c r="C27" s="3" t="n">
        <v>39.5</v>
      </c>
      <c r="D27" s="3" t="n">
        <v>30.2</v>
      </c>
      <c r="E27" s="3" t="n">
        <f aca="false">C27+D27</f>
        <v>69.7</v>
      </c>
      <c r="F27" s="4" t="n">
        <f aca="false">C27*14.5</f>
        <v>572.75</v>
      </c>
      <c r="G27" s="4" t="n">
        <f aca="false">D27*16.75</f>
        <v>505.85</v>
      </c>
      <c r="H27" s="4" t="n">
        <f aca="false">F27+G27</f>
        <v>1078.6</v>
      </c>
      <c r="I27" s="4" t="n">
        <f aca="false">'Daily Sales'!I27</f>
        <v>1941.22</v>
      </c>
      <c r="J27" s="8" t="n">
        <f aca="false">IF(I27=0,0,H27/I27)</f>
        <v>0.555629964661399</v>
      </c>
      <c r="K27" s="3" t="n">
        <v>0</v>
      </c>
      <c r="L27" s="4" t="n">
        <f aca="false">K27*16.75*1.5</f>
        <v>0</v>
      </c>
    </row>
    <row r="28" customFormat="false" ht="15" hidden="false" customHeight="false" outlineLevel="0" collapsed="false">
      <c r="A28" s="2" t="n">
        <v>46108</v>
      </c>
      <c r="B28" s="3" t="s">
        <v>18</v>
      </c>
      <c r="C28" s="3" t="n">
        <v>44.4</v>
      </c>
      <c r="D28" s="3" t="n">
        <v>40.2</v>
      </c>
      <c r="E28" s="3" t="n">
        <f aca="false">C28+D28</f>
        <v>84.6</v>
      </c>
      <c r="F28" s="4" t="n">
        <f aca="false">C28*14.5</f>
        <v>643.8</v>
      </c>
      <c r="G28" s="4" t="n">
        <f aca="false">D28*16.75</f>
        <v>673.35</v>
      </c>
      <c r="H28" s="4" t="n">
        <f aca="false">F28+G28</f>
        <v>1317.15</v>
      </c>
      <c r="I28" s="4" t="n">
        <f aca="false">'Daily Sales'!I28</f>
        <v>2465.7</v>
      </c>
      <c r="J28" s="8" t="n">
        <f aca="false">IF(I28=0,0,H28/I28)</f>
        <v>0.534189074096605</v>
      </c>
      <c r="K28" s="3" t="n">
        <v>0</v>
      </c>
      <c r="L28" s="4" t="n">
        <f aca="false">K28*16.75*1.5</f>
        <v>0</v>
      </c>
    </row>
    <row r="29" customFormat="false" ht="15" hidden="false" customHeight="false" outlineLevel="0" collapsed="false">
      <c r="A29" s="2" t="n">
        <v>46109</v>
      </c>
      <c r="B29" s="3" t="s">
        <v>19</v>
      </c>
      <c r="C29" s="3" t="n">
        <v>51.5</v>
      </c>
      <c r="D29" s="3" t="n">
        <v>33.5</v>
      </c>
      <c r="E29" s="3" t="n">
        <f aca="false">C29+D29</f>
        <v>85</v>
      </c>
      <c r="F29" s="4" t="n">
        <f aca="false">C29*14.5</f>
        <v>746.75</v>
      </c>
      <c r="G29" s="4" t="n">
        <f aca="false">D29*16.75</f>
        <v>561.125</v>
      </c>
      <c r="H29" s="4" t="n">
        <f aca="false">F29+G29</f>
        <v>1307.875</v>
      </c>
      <c r="I29" s="4" t="n">
        <f aca="false">'Daily Sales'!I29</f>
        <v>2662.46</v>
      </c>
      <c r="J29" s="8" t="n">
        <f aca="false">IF(I29=0,0,H29/I29)</f>
        <v>0.491228037228728</v>
      </c>
      <c r="K29" s="3" t="n">
        <v>0</v>
      </c>
      <c r="L29" s="4" t="n">
        <f aca="false">K29*16.75*1.5</f>
        <v>0</v>
      </c>
    </row>
    <row r="30" customFormat="false" ht="15" hidden="false" customHeight="false" outlineLevel="0" collapsed="false">
      <c r="A30" s="2" t="n">
        <v>46110</v>
      </c>
      <c r="B30" s="3" t="s">
        <v>13</v>
      </c>
      <c r="C30" s="3" t="n">
        <v>51.5</v>
      </c>
      <c r="D30" s="3" t="n">
        <v>43.1</v>
      </c>
      <c r="E30" s="3" t="n">
        <f aca="false">C30+D30</f>
        <v>94.6</v>
      </c>
      <c r="F30" s="4" t="n">
        <f aca="false">C30*14.5</f>
        <v>746.75</v>
      </c>
      <c r="G30" s="4" t="n">
        <f aca="false">D30*16.75</f>
        <v>721.925</v>
      </c>
      <c r="H30" s="4" t="n">
        <f aca="false">F30+G30</f>
        <v>1468.675</v>
      </c>
      <c r="I30" s="4" t="n">
        <f aca="false">'Daily Sales'!I30</f>
        <v>2634.66</v>
      </c>
      <c r="J30" s="8" t="n">
        <f aca="false">IF(I30=0,0,H30/I30)</f>
        <v>0.557443844746571</v>
      </c>
      <c r="K30" s="3" t="n">
        <v>0</v>
      </c>
      <c r="L30" s="4" t="n">
        <f aca="false">K30*16.75*1.5</f>
        <v>0</v>
      </c>
    </row>
    <row r="31" customFormat="false" ht="15" hidden="false" customHeight="false" outlineLevel="0" collapsed="false">
      <c r="A31" s="2" t="n">
        <v>46111</v>
      </c>
      <c r="B31" s="3" t="s">
        <v>14</v>
      </c>
      <c r="C31" s="3" t="n">
        <v>37.1</v>
      </c>
      <c r="D31" s="3" t="n">
        <v>32.3</v>
      </c>
      <c r="E31" s="3" t="n">
        <f aca="false">C31+D31</f>
        <v>69.4</v>
      </c>
      <c r="F31" s="4" t="n">
        <f aca="false">C31*14.5</f>
        <v>537.95</v>
      </c>
      <c r="G31" s="4" t="n">
        <f aca="false">D31*16.75</f>
        <v>541.025</v>
      </c>
      <c r="H31" s="4" t="n">
        <f aca="false">F31+G31</f>
        <v>1078.975</v>
      </c>
      <c r="I31" s="4" t="n">
        <f aca="false">'Daily Sales'!I31</f>
        <v>1549.45</v>
      </c>
      <c r="J31" s="8" t="n">
        <f aca="false">IF(I31=0,0,H31/I31)</f>
        <v>0.696359998709219</v>
      </c>
      <c r="K31" s="3" t="n">
        <v>4.6</v>
      </c>
      <c r="L31" s="4" t="n">
        <f aca="false">K31*16.75*1.5</f>
        <v>115.575</v>
      </c>
    </row>
    <row r="32" customFormat="false" ht="15" hidden="false" customHeight="false" outlineLevel="0" collapsed="false">
      <c r="A32" s="2" t="n">
        <v>46112</v>
      </c>
      <c r="B32" s="3" t="s">
        <v>15</v>
      </c>
      <c r="C32" s="3" t="n">
        <v>30</v>
      </c>
      <c r="D32" s="3" t="n">
        <v>24.4</v>
      </c>
      <c r="E32" s="3" t="n">
        <f aca="false">C32+D32</f>
        <v>54.4</v>
      </c>
      <c r="F32" s="4" t="n">
        <f aca="false">C32*14.5</f>
        <v>435</v>
      </c>
      <c r="G32" s="4" t="n">
        <f aca="false">D32*16.75</f>
        <v>408.7</v>
      </c>
      <c r="H32" s="4" t="n">
        <f aca="false">F32+G32</f>
        <v>843.7</v>
      </c>
      <c r="I32" s="4" t="n">
        <f aca="false">'Daily Sales'!I32</f>
        <v>1719.86</v>
      </c>
      <c r="J32" s="8" t="n">
        <f aca="false">IF(I32=0,0,H32/I32)</f>
        <v>0.490563185375554</v>
      </c>
      <c r="K32" s="3" t="n">
        <v>0</v>
      </c>
      <c r="L32" s="4" t="n">
        <f aca="false">K32*16.75*1.5</f>
        <v>0</v>
      </c>
    </row>
    <row r="33" customFormat="false" ht="15" hidden="false" customHeight="false" outlineLevel="0" collapsed="false">
      <c r="A33" s="9" t="s">
        <v>20</v>
      </c>
      <c r="B33" s="9"/>
      <c r="C33" s="9" t="n">
        <f aca="false">SUM(C2:C32)</f>
        <v>1209.9</v>
      </c>
      <c r="D33" s="9" t="n">
        <f aca="false">SUM(D2:D32)</f>
        <v>954.3</v>
      </c>
      <c r="E33" s="9" t="n">
        <f aca="false">SUM(E2:E32)</f>
        <v>2164.2</v>
      </c>
      <c r="F33" s="10" t="n">
        <f aca="false">SUM(F2:F32)</f>
        <v>17543.55</v>
      </c>
      <c r="G33" s="10" t="n">
        <f aca="false">SUM(G2:G32)</f>
        <v>15984.525</v>
      </c>
      <c r="H33" s="10" t="n">
        <f aca="false">SUM(H2:H32)</f>
        <v>33528.075</v>
      </c>
      <c r="I33" s="10" t="n">
        <f aca="false">SUM(I2:I32)</f>
        <v>58537.87</v>
      </c>
      <c r="J33" s="11" t="n">
        <f aca="false">IF(I33=0,0,H33/I33)</f>
        <v>0.572758711582775</v>
      </c>
      <c r="K33" s="9" t="n">
        <f aca="false">SUM(K2:K32)</f>
        <v>25.6</v>
      </c>
      <c r="L33" s="10" t="n">
        <f aca="false">SUM(L2:L32)</f>
        <v>643.2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10" min="8" style="0" width="15"/>
  </cols>
  <sheetData>
    <row r="1" customFormat="false" ht="26.85" hidden="false" customHeight="false" outlineLevel="0" collapsed="false">
      <c r="A1" s="12" t="s">
        <v>30</v>
      </c>
      <c r="B1" s="12" t="s">
        <v>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2" t="s">
        <v>38</v>
      </c>
    </row>
    <row r="2" customFormat="false" ht="15" hidden="false" customHeight="false" outlineLevel="0" collapsed="false">
      <c r="A2" s="3" t="s">
        <v>39</v>
      </c>
      <c r="B2" s="2" t="n">
        <v>46082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4" t="n">
        <v>40.21</v>
      </c>
      <c r="I2" s="3" t="s">
        <v>45</v>
      </c>
      <c r="J2" s="3" t="s">
        <v>46</v>
      </c>
    </row>
    <row r="3" customFormat="false" ht="15" hidden="false" customHeight="false" outlineLevel="0" collapsed="false">
      <c r="A3" s="3" t="s">
        <v>47</v>
      </c>
      <c r="B3" s="2" t="n">
        <v>46085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4" t="n">
        <v>8.58</v>
      </c>
      <c r="I3" s="3" t="s">
        <v>45</v>
      </c>
      <c r="J3" s="3" t="s">
        <v>46</v>
      </c>
    </row>
    <row r="4" customFormat="false" ht="15" hidden="false" customHeight="false" outlineLevel="0" collapsed="false">
      <c r="A4" s="3" t="s">
        <v>53</v>
      </c>
      <c r="B4" s="2" t="n">
        <v>46086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4" t="n">
        <v>33.65</v>
      </c>
      <c r="I4" s="3" t="s">
        <v>45</v>
      </c>
      <c r="J4" s="3" t="s">
        <v>59</v>
      </c>
    </row>
    <row r="5" customFormat="false" ht="15" hidden="false" customHeight="false" outlineLevel="0" collapsed="false">
      <c r="A5" s="3" t="s">
        <v>60</v>
      </c>
      <c r="B5" s="2" t="n">
        <v>46087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58</v>
      </c>
      <c r="H5" s="4" t="n">
        <v>28.11</v>
      </c>
      <c r="I5" s="3" t="s">
        <v>45</v>
      </c>
      <c r="J5" s="3" t="s">
        <v>46</v>
      </c>
    </row>
    <row r="6" customFormat="false" ht="15" hidden="false" customHeight="false" outlineLevel="0" collapsed="false">
      <c r="A6" s="3" t="s">
        <v>65</v>
      </c>
      <c r="B6" s="2" t="n">
        <v>46087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58</v>
      </c>
      <c r="H6" s="4" t="n">
        <v>5.18</v>
      </c>
      <c r="I6" s="3" t="s">
        <v>70</v>
      </c>
      <c r="J6" s="3" t="s">
        <v>59</v>
      </c>
    </row>
    <row r="7" customFormat="false" ht="15" hidden="false" customHeight="false" outlineLevel="0" collapsed="false">
      <c r="A7" s="3" t="s">
        <v>71</v>
      </c>
      <c r="B7" s="2" t="n">
        <v>46087</v>
      </c>
      <c r="C7" s="3" t="s">
        <v>72</v>
      </c>
      <c r="D7" s="3" t="s">
        <v>41</v>
      </c>
      <c r="E7" s="3" t="s">
        <v>73</v>
      </c>
      <c r="F7" s="3" t="s">
        <v>74</v>
      </c>
      <c r="G7" s="3" t="s">
        <v>75</v>
      </c>
      <c r="H7" s="4" t="n">
        <v>32.53</v>
      </c>
      <c r="I7" s="3" t="s">
        <v>45</v>
      </c>
      <c r="J7" s="3" t="s">
        <v>59</v>
      </c>
    </row>
    <row r="8" customFormat="false" ht="15" hidden="false" customHeight="false" outlineLevel="0" collapsed="false">
      <c r="A8" s="3" t="s">
        <v>76</v>
      </c>
      <c r="B8" s="2" t="n">
        <v>46087</v>
      </c>
      <c r="C8" s="3" t="s">
        <v>77</v>
      </c>
      <c r="D8" s="3" t="s">
        <v>78</v>
      </c>
      <c r="E8" s="3" t="s">
        <v>79</v>
      </c>
      <c r="F8" s="3" t="s">
        <v>80</v>
      </c>
      <c r="G8" s="3" t="s">
        <v>52</v>
      </c>
      <c r="H8" s="4" t="n">
        <v>30.85</v>
      </c>
      <c r="I8" s="3" t="s">
        <v>81</v>
      </c>
      <c r="J8" s="3" t="s">
        <v>59</v>
      </c>
    </row>
    <row r="9" customFormat="false" ht="15" hidden="false" customHeight="false" outlineLevel="0" collapsed="false">
      <c r="A9" s="3" t="s">
        <v>82</v>
      </c>
      <c r="B9" s="2" t="n">
        <v>46088</v>
      </c>
      <c r="C9" s="3" t="s">
        <v>40</v>
      </c>
      <c r="D9" s="3" t="s">
        <v>41</v>
      </c>
      <c r="E9" s="3" t="s">
        <v>83</v>
      </c>
      <c r="F9" s="3" t="s">
        <v>74</v>
      </c>
      <c r="G9" s="3" t="s">
        <v>75</v>
      </c>
      <c r="H9" s="4" t="n">
        <v>28.45</v>
      </c>
      <c r="I9" s="3" t="s">
        <v>45</v>
      </c>
      <c r="J9" s="3" t="s">
        <v>46</v>
      </c>
    </row>
    <row r="10" customFormat="false" ht="15" hidden="false" customHeight="false" outlineLevel="0" collapsed="false">
      <c r="A10" s="3" t="s">
        <v>84</v>
      </c>
      <c r="B10" s="2" t="n">
        <v>46088</v>
      </c>
      <c r="C10" s="3" t="s">
        <v>85</v>
      </c>
      <c r="D10" s="3" t="s">
        <v>62</v>
      </c>
      <c r="E10" s="3" t="s">
        <v>86</v>
      </c>
      <c r="F10" s="3" t="s">
        <v>80</v>
      </c>
      <c r="G10" s="3" t="s">
        <v>87</v>
      </c>
      <c r="H10" s="4" t="n">
        <v>5.21</v>
      </c>
      <c r="I10" s="3" t="s">
        <v>81</v>
      </c>
      <c r="J10" s="3" t="s">
        <v>59</v>
      </c>
    </row>
    <row r="11" customFormat="false" ht="15" hidden="false" customHeight="false" outlineLevel="0" collapsed="false">
      <c r="A11" s="3" t="s">
        <v>88</v>
      </c>
      <c r="B11" s="2" t="n">
        <v>46088</v>
      </c>
      <c r="C11" s="3" t="s">
        <v>48</v>
      </c>
      <c r="D11" s="3" t="s">
        <v>41</v>
      </c>
      <c r="E11" s="3" t="s">
        <v>89</v>
      </c>
      <c r="F11" s="3" t="s">
        <v>64</v>
      </c>
      <c r="G11" s="3" t="s">
        <v>90</v>
      </c>
      <c r="H11" s="4" t="n">
        <v>11.5</v>
      </c>
      <c r="I11" s="3" t="s">
        <v>70</v>
      </c>
      <c r="J11" s="3" t="s">
        <v>59</v>
      </c>
    </row>
    <row r="12" customFormat="false" ht="15" hidden="false" customHeight="false" outlineLevel="0" collapsed="false">
      <c r="A12" s="3" t="s">
        <v>91</v>
      </c>
      <c r="B12" s="2" t="n">
        <v>46090</v>
      </c>
      <c r="C12" s="3" t="s">
        <v>92</v>
      </c>
      <c r="D12" s="3" t="s">
        <v>41</v>
      </c>
      <c r="E12" s="3" t="s">
        <v>93</v>
      </c>
      <c r="F12" s="3" t="s">
        <v>69</v>
      </c>
      <c r="G12" s="3" t="s">
        <v>94</v>
      </c>
      <c r="H12" s="4" t="n">
        <v>18.21</v>
      </c>
      <c r="I12" s="3" t="s">
        <v>45</v>
      </c>
      <c r="J12" s="3" t="s">
        <v>46</v>
      </c>
    </row>
    <row r="13" customFormat="false" ht="15" hidden="false" customHeight="false" outlineLevel="0" collapsed="false">
      <c r="A13" s="3" t="s">
        <v>95</v>
      </c>
      <c r="B13" s="2" t="n">
        <v>46090</v>
      </c>
      <c r="C13" s="3" t="s">
        <v>85</v>
      </c>
      <c r="D13" s="3" t="s">
        <v>49</v>
      </c>
      <c r="E13" s="3" t="s">
        <v>42</v>
      </c>
      <c r="F13" s="3" t="s">
        <v>51</v>
      </c>
      <c r="G13" s="3" t="s">
        <v>52</v>
      </c>
      <c r="H13" s="4" t="n">
        <v>7.77</v>
      </c>
      <c r="I13" s="3" t="s">
        <v>45</v>
      </c>
      <c r="J13" s="3" t="s">
        <v>59</v>
      </c>
    </row>
    <row r="14" customFormat="false" ht="15" hidden="false" customHeight="false" outlineLevel="0" collapsed="false">
      <c r="A14" s="3" t="s">
        <v>96</v>
      </c>
      <c r="B14" s="2" t="n">
        <v>46090</v>
      </c>
      <c r="C14" s="3" t="s">
        <v>97</v>
      </c>
      <c r="D14" s="3" t="s">
        <v>41</v>
      </c>
      <c r="E14" s="3" t="s">
        <v>98</v>
      </c>
      <c r="F14" s="3" t="s">
        <v>57</v>
      </c>
      <c r="G14" s="3" t="s">
        <v>99</v>
      </c>
      <c r="H14" s="4" t="n">
        <v>12.36</v>
      </c>
      <c r="I14" s="3" t="s">
        <v>45</v>
      </c>
      <c r="J14" s="3" t="s">
        <v>46</v>
      </c>
    </row>
    <row r="15" customFormat="false" ht="15" hidden="false" customHeight="false" outlineLevel="0" collapsed="false">
      <c r="A15" s="3" t="s">
        <v>100</v>
      </c>
      <c r="B15" s="2" t="n">
        <v>46091</v>
      </c>
      <c r="C15" s="3" t="s">
        <v>101</v>
      </c>
      <c r="D15" s="3" t="s">
        <v>49</v>
      </c>
      <c r="E15" s="3" t="s">
        <v>102</v>
      </c>
      <c r="F15" s="3" t="s">
        <v>103</v>
      </c>
      <c r="G15" s="3" t="s">
        <v>52</v>
      </c>
      <c r="H15" s="4" t="n">
        <v>12.06</v>
      </c>
      <c r="I15" s="3" t="s">
        <v>81</v>
      </c>
      <c r="J15" s="3" t="s">
        <v>46</v>
      </c>
    </row>
    <row r="16" customFormat="false" ht="15" hidden="false" customHeight="false" outlineLevel="0" collapsed="false">
      <c r="A16" s="3" t="s">
        <v>104</v>
      </c>
      <c r="B16" s="2" t="n">
        <v>46091</v>
      </c>
      <c r="C16" s="3" t="s">
        <v>105</v>
      </c>
      <c r="D16" s="3" t="s">
        <v>49</v>
      </c>
      <c r="E16" s="3" t="s">
        <v>73</v>
      </c>
      <c r="F16" s="3" t="s">
        <v>80</v>
      </c>
      <c r="G16" s="3" t="s">
        <v>106</v>
      </c>
      <c r="H16" s="4" t="n">
        <v>11.6</v>
      </c>
      <c r="I16" s="3" t="s">
        <v>81</v>
      </c>
      <c r="J16" s="3" t="s">
        <v>46</v>
      </c>
    </row>
    <row r="17" customFormat="false" ht="15" hidden="false" customHeight="false" outlineLevel="0" collapsed="false">
      <c r="A17" s="3" t="s">
        <v>107</v>
      </c>
      <c r="B17" s="2" t="n">
        <v>46091</v>
      </c>
      <c r="C17" s="3" t="s">
        <v>108</v>
      </c>
      <c r="D17" s="3" t="s">
        <v>49</v>
      </c>
      <c r="E17" s="3" t="s">
        <v>102</v>
      </c>
      <c r="F17" s="3" t="s">
        <v>51</v>
      </c>
      <c r="G17" s="3" t="s">
        <v>109</v>
      </c>
      <c r="H17" s="4" t="n">
        <v>13.23</v>
      </c>
      <c r="I17" s="3" t="s">
        <v>81</v>
      </c>
      <c r="J17" s="3" t="s">
        <v>46</v>
      </c>
    </row>
    <row r="18" customFormat="false" ht="15" hidden="false" customHeight="false" outlineLevel="0" collapsed="false">
      <c r="A18" s="3" t="s">
        <v>110</v>
      </c>
      <c r="B18" s="2" t="n">
        <v>46091</v>
      </c>
      <c r="C18" s="3" t="s">
        <v>77</v>
      </c>
      <c r="D18" s="3" t="s">
        <v>111</v>
      </c>
      <c r="E18" s="3" t="s">
        <v>112</v>
      </c>
      <c r="F18" s="3" t="s">
        <v>80</v>
      </c>
      <c r="G18" s="3" t="s">
        <v>99</v>
      </c>
      <c r="H18" s="4" t="n">
        <v>21.05</v>
      </c>
      <c r="I18" s="3" t="s">
        <v>70</v>
      </c>
      <c r="J18" s="3" t="s">
        <v>46</v>
      </c>
    </row>
    <row r="19" customFormat="false" ht="15" hidden="false" customHeight="false" outlineLevel="0" collapsed="false">
      <c r="A19" s="3" t="s">
        <v>113</v>
      </c>
      <c r="B19" s="2" t="n">
        <v>46091</v>
      </c>
      <c r="C19" s="3" t="s">
        <v>48</v>
      </c>
      <c r="D19" s="3" t="s">
        <v>49</v>
      </c>
      <c r="E19" s="3" t="s">
        <v>114</v>
      </c>
      <c r="F19" s="3" t="s">
        <v>51</v>
      </c>
      <c r="G19" s="3" t="s">
        <v>109</v>
      </c>
      <c r="H19" s="4" t="n">
        <v>8.53</v>
      </c>
      <c r="I19" s="3" t="s">
        <v>81</v>
      </c>
      <c r="J19" s="3" t="s">
        <v>46</v>
      </c>
    </row>
    <row r="20" customFormat="false" ht="15" hidden="false" customHeight="false" outlineLevel="0" collapsed="false">
      <c r="A20" s="3" t="s">
        <v>115</v>
      </c>
      <c r="B20" s="2" t="n">
        <v>46092</v>
      </c>
      <c r="C20" s="3" t="s">
        <v>116</v>
      </c>
      <c r="D20" s="3" t="s">
        <v>55</v>
      </c>
      <c r="E20" s="3" t="s">
        <v>117</v>
      </c>
      <c r="F20" s="3" t="s">
        <v>118</v>
      </c>
      <c r="G20" s="3" t="s">
        <v>52</v>
      </c>
      <c r="H20" s="4" t="n">
        <v>34.23</v>
      </c>
      <c r="I20" s="3" t="s">
        <v>45</v>
      </c>
      <c r="J20" s="3" t="s">
        <v>46</v>
      </c>
    </row>
    <row r="21" customFormat="false" ht="15" hidden="false" customHeight="false" outlineLevel="0" collapsed="false">
      <c r="A21" s="3" t="s">
        <v>119</v>
      </c>
      <c r="B21" s="2" t="n">
        <v>46092</v>
      </c>
      <c r="C21" s="3" t="s">
        <v>40</v>
      </c>
      <c r="D21" s="3" t="s">
        <v>111</v>
      </c>
      <c r="E21" s="3" t="s">
        <v>56</v>
      </c>
      <c r="F21" s="3" t="s">
        <v>120</v>
      </c>
      <c r="G21" s="3" t="s">
        <v>90</v>
      </c>
      <c r="H21" s="4" t="n">
        <v>19.44</v>
      </c>
      <c r="I21" s="3" t="s">
        <v>81</v>
      </c>
      <c r="J21" s="3" t="s">
        <v>59</v>
      </c>
    </row>
    <row r="22" customFormat="false" ht="15" hidden="false" customHeight="false" outlineLevel="0" collapsed="false">
      <c r="A22" s="3" t="s">
        <v>121</v>
      </c>
      <c r="B22" s="2" t="n">
        <v>46094</v>
      </c>
      <c r="C22" s="3" t="s">
        <v>122</v>
      </c>
      <c r="D22" s="3" t="s">
        <v>41</v>
      </c>
      <c r="E22" s="3" t="s">
        <v>123</v>
      </c>
      <c r="F22" s="3" t="s">
        <v>43</v>
      </c>
      <c r="G22" s="3" t="s">
        <v>75</v>
      </c>
      <c r="H22" s="4" t="n">
        <v>41.19</v>
      </c>
      <c r="I22" s="3" t="s">
        <v>45</v>
      </c>
      <c r="J22" s="3" t="s">
        <v>46</v>
      </c>
    </row>
    <row r="23" customFormat="false" ht="15" hidden="false" customHeight="false" outlineLevel="0" collapsed="false">
      <c r="A23" s="3" t="s">
        <v>124</v>
      </c>
      <c r="B23" s="2" t="n">
        <v>46095</v>
      </c>
      <c r="C23" s="3" t="s">
        <v>77</v>
      </c>
      <c r="D23" s="3" t="s">
        <v>41</v>
      </c>
      <c r="E23" s="3" t="s">
        <v>125</v>
      </c>
      <c r="F23" s="3" t="s">
        <v>74</v>
      </c>
      <c r="G23" s="3" t="s">
        <v>75</v>
      </c>
      <c r="H23" s="4" t="n">
        <v>29.65</v>
      </c>
      <c r="I23" s="3" t="s">
        <v>45</v>
      </c>
      <c r="J23" s="3" t="s">
        <v>59</v>
      </c>
    </row>
    <row r="24" customFormat="false" ht="15" hidden="false" customHeight="false" outlineLevel="0" collapsed="false">
      <c r="A24" s="3" t="s">
        <v>126</v>
      </c>
      <c r="B24" s="2" t="n">
        <v>46096</v>
      </c>
      <c r="C24" s="3" t="s">
        <v>61</v>
      </c>
      <c r="D24" s="3" t="s">
        <v>49</v>
      </c>
      <c r="E24" s="3" t="s">
        <v>127</v>
      </c>
      <c r="F24" s="3" t="s">
        <v>80</v>
      </c>
      <c r="G24" s="3" t="s">
        <v>52</v>
      </c>
      <c r="H24" s="4" t="n">
        <v>19.62</v>
      </c>
      <c r="I24" s="3" t="s">
        <v>70</v>
      </c>
      <c r="J24" s="3" t="s">
        <v>59</v>
      </c>
    </row>
    <row r="25" customFormat="false" ht="15" hidden="false" customHeight="false" outlineLevel="0" collapsed="false">
      <c r="A25" s="3" t="s">
        <v>128</v>
      </c>
      <c r="B25" s="2" t="n">
        <v>46096</v>
      </c>
      <c r="C25" s="3" t="s">
        <v>129</v>
      </c>
      <c r="D25" s="3" t="s">
        <v>55</v>
      </c>
      <c r="E25" s="3" t="s">
        <v>56</v>
      </c>
      <c r="F25" s="3" t="s">
        <v>80</v>
      </c>
      <c r="G25" s="3" t="s">
        <v>94</v>
      </c>
      <c r="H25" s="4" t="n">
        <v>19.46</v>
      </c>
      <c r="I25" s="3" t="s">
        <v>45</v>
      </c>
      <c r="J25" s="3" t="s">
        <v>59</v>
      </c>
    </row>
    <row r="26" customFormat="false" ht="15" hidden="false" customHeight="false" outlineLevel="0" collapsed="false">
      <c r="A26" s="3" t="s">
        <v>130</v>
      </c>
      <c r="B26" s="2" t="n">
        <v>46096</v>
      </c>
      <c r="C26" s="3" t="s">
        <v>131</v>
      </c>
      <c r="D26" s="3" t="s">
        <v>78</v>
      </c>
      <c r="E26" s="3" t="s">
        <v>132</v>
      </c>
      <c r="F26" s="3" t="s">
        <v>69</v>
      </c>
      <c r="G26" s="3" t="s">
        <v>94</v>
      </c>
      <c r="H26" s="4" t="n">
        <v>35.16</v>
      </c>
      <c r="I26" s="3" t="s">
        <v>70</v>
      </c>
      <c r="J26" s="3" t="s">
        <v>59</v>
      </c>
    </row>
    <row r="27" customFormat="false" ht="15" hidden="false" customHeight="false" outlineLevel="0" collapsed="false">
      <c r="A27" s="3" t="s">
        <v>133</v>
      </c>
      <c r="B27" s="2" t="n">
        <v>46096</v>
      </c>
      <c r="C27" s="3" t="s">
        <v>131</v>
      </c>
      <c r="D27" s="3" t="s">
        <v>62</v>
      </c>
      <c r="E27" s="3" t="s">
        <v>56</v>
      </c>
      <c r="F27" s="3" t="s">
        <v>103</v>
      </c>
      <c r="G27" s="3" t="s">
        <v>94</v>
      </c>
      <c r="H27" s="4" t="n">
        <v>39.66</v>
      </c>
      <c r="I27" s="3" t="s">
        <v>81</v>
      </c>
      <c r="J27" s="3" t="s">
        <v>59</v>
      </c>
    </row>
    <row r="28" customFormat="false" ht="15" hidden="false" customHeight="false" outlineLevel="0" collapsed="false">
      <c r="A28" s="3" t="s">
        <v>134</v>
      </c>
      <c r="B28" s="2" t="n">
        <v>46097</v>
      </c>
      <c r="C28" s="3" t="s">
        <v>135</v>
      </c>
      <c r="D28" s="3" t="s">
        <v>67</v>
      </c>
      <c r="E28" s="3" t="s">
        <v>136</v>
      </c>
      <c r="F28" s="3" t="s">
        <v>51</v>
      </c>
      <c r="G28" s="3" t="s">
        <v>52</v>
      </c>
      <c r="H28" s="4" t="n">
        <v>16.18</v>
      </c>
      <c r="I28" s="3" t="s">
        <v>81</v>
      </c>
      <c r="J28" s="3" t="s">
        <v>46</v>
      </c>
    </row>
    <row r="29" customFormat="false" ht="15" hidden="false" customHeight="false" outlineLevel="0" collapsed="false">
      <c r="A29" s="3" t="s">
        <v>137</v>
      </c>
      <c r="B29" s="2" t="n">
        <v>46098</v>
      </c>
      <c r="C29" s="3" t="s">
        <v>138</v>
      </c>
      <c r="D29" s="3" t="s">
        <v>41</v>
      </c>
      <c r="E29" s="3" t="s">
        <v>139</v>
      </c>
      <c r="F29" s="3" t="s">
        <v>74</v>
      </c>
      <c r="G29" s="3" t="s">
        <v>90</v>
      </c>
      <c r="H29" s="4" t="n">
        <v>29.83</v>
      </c>
      <c r="I29" s="3" t="s">
        <v>45</v>
      </c>
      <c r="J29" s="3" t="s">
        <v>46</v>
      </c>
    </row>
    <row r="30" customFormat="false" ht="15" hidden="false" customHeight="false" outlineLevel="0" collapsed="false">
      <c r="A30" s="3" t="s">
        <v>140</v>
      </c>
      <c r="B30" s="2" t="n">
        <v>46098</v>
      </c>
      <c r="C30" s="3" t="s">
        <v>141</v>
      </c>
      <c r="D30" s="3" t="s">
        <v>49</v>
      </c>
      <c r="E30" s="3" t="s">
        <v>142</v>
      </c>
      <c r="F30" s="3" t="s">
        <v>143</v>
      </c>
      <c r="G30" s="3" t="s">
        <v>52</v>
      </c>
      <c r="H30" s="4" t="n">
        <v>14.98</v>
      </c>
      <c r="I30" s="3" t="s">
        <v>81</v>
      </c>
      <c r="J30" s="3" t="s">
        <v>46</v>
      </c>
    </row>
    <row r="31" customFormat="false" ht="15" hidden="false" customHeight="false" outlineLevel="0" collapsed="false">
      <c r="A31" s="3" t="s">
        <v>144</v>
      </c>
      <c r="B31" s="2" t="n">
        <v>46098</v>
      </c>
      <c r="C31" s="3" t="s">
        <v>145</v>
      </c>
      <c r="D31" s="3" t="s">
        <v>49</v>
      </c>
      <c r="E31" s="3" t="s">
        <v>50</v>
      </c>
      <c r="F31" s="3" t="s">
        <v>103</v>
      </c>
      <c r="G31" s="3" t="s">
        <v>109</v>
      </c>
      <c r="H31" s="4" t="n">
        <v>9.97</v>
      </c>
      <c r="I31" s="3" t="s">
        <v>70</v>
      </c>
      <c r="J31" s="3" t="s">
        <v>46</v>
      </c>
    </row>
    <row r="32" customFormat="false" ht="15" hidden="false" customHeight="false" outlineLevel="0" collapsed="false">
      <c r="A32" s="3" t="s">
        <v>146</v>
      </c>
      <c r="B32" s="2" t="n">
        <v>46099</v>
      </c>
      <c r="C32" s="3" t="s">
        <v>147</v>
      </c>
      <c r="D32" s="3" t="s">
        <v>67</v>
      </c>
      <c r="E32" s="3" t="s">
        <v>148</v>
      </c>
      <c r="F32" s="3" t="s">
        <v>149</v>
      </c>
      <c r="G32" s="3" t="s">
        <v>87</v>
      </c>
      <c r="H32" s="4" t="n">
        <v>6.94</v>
      </c>
      <c r="I32" s="3" t="s">
        <v>45</v>
      </c>
      <c r="J32" s="3" t="s">
        <v>59</v>
      </c>
    </row>
    <row r="33" customFormat="false" ht="15" hidden="false" customHeight="false" outlineLevel="0" collapsed="false">
      <c r="A33" s="3" t="s">
        <v>150</v>
      </c>
      <c r="B33" s="2" t="n">
        <v>46100</v>
      </c>
      <c r="C33" s="3" t="s">
        <v>116</v>
      </c>
      <c r="D33" s="3" t="s">
        <v>111</v>
      </c>
      <c r="E33" s="3" t="s">
        <v>151</v>
      </c>
      <c r="F33" s="3" t="s">
        <v>80</v>
      </c>
      <c r="G33" s="3" t="s">
        <v>90</v>
      </c>
      <c r="H33" s="4" t="n">
        <v>34.82</v>
      </c>
      <c r="I33" s="3" t="s">
        <v>45</v>
      </c>
      <c r="J33" s="3" t="s">
        <v>46</v>
      </c>
    </row>
    <row r="34" customFormat="false" ht="15" hidden="false" customHeight="false" outlineLevel="0" collapsed="false">
      <c r="A34" s="3" t="s">
        <v>152</v>
      </c>
      <c r="B34" s="2" t="n">
        <v>46100</v>
      </c>
      <c r="C34" s="3" t="s">
        <v>66</v>
      </c>
      <c r="D34" s="3" t="s">
        <v>41</v>
      </c>
      <c r="E34" s="3" t="s">
        <v>153</v>
      </c>
      <c r="F34" s="3" t="s">
        <v>69</v>
      </c>
      <c r="G34" s="3" t="s">
        <v>52</v>
      </c>
      <c r="H34" s="4" t="n">
        <v>15.89</v>
      </c>
      <c r="I34" s="3" t="s">
        <v>45</v>
      </c>
      <c r="J34" s="3" t="s">
        <v>46</v>
      </c>
    </row>
    <row r="35" customFormat="false" ht="15" hidden="false" customHeight="false" outlineLevel="0" collapsed="false">
      <c r="A35" s="3" t="s">
        <v>154</v>
      </c>
      <c r="B35" s="2" t="n">
        <v>46100</v>
      </c>
      <c r="C35" s="3" t="s">
        <v>129</v>
      </c>
      <c r="D35" s="3" t="s">
        <v>62</v>
      </c>
      <c r="E35" s="3" t="s">
        <v>151</v>
      </c>
      <c r="F35" s="3" t="s">
        <v>74</v>
      </c>
      <c r="G35" s="3" t="s">
        <v>94</v>
      </c>
      <c r="H35" s="4" t="n">
        <v>46.97</v>
      </c>
      <c r="I35" s="3" t="s">
        <v>70</v>
      </c>
      <c r="J35" s="3" t="s">
        <v>59</v>
      </c>
    </row>
    <row r="36" customFormat="false" ht="15" hidden="false" customHeight="false" outlineLevel="0" collapsed="false">
      <c r="A36" s="3" t="s">
        <v>155</v>
      </c>
      <c r="B36" s="2" t="n">
        <v>46100</v>
      </c>
      <c r="C36" s="3" t="s">
        <v>156</v>
      </c>
      <c r="D36" s="3" t="s">
        <v>78</v>
      </c>
      <c r="E36" s="3" t="s">
        <v>132</v>
      </c>
      <c r="F36" s="3" t="s">
        <v>64</v>
      </c>
      <c r="G36" s="3" t="s">
        <v>94</v>
      </c>
      <c r="H36" s="4" t="n">
        <v>39.24</v>
      </c>
      <c r="I36" s="3" t="s">
        <v>45</v>
      </c>
      <c r="J36" s="3" t="s">
        <v>59</v>
      </c>
    </row>
    <row r="37" customFormat="false" ht="15" hidden="false" customHeight="false" outlineLevel="0" collapsed="false">
      <c r="A37" s="3" t="s">
        <v>157</v>
      </c>
      <c r="B37" s="2" t="n">
        <v>46100</v>
      </c>
      <c r="C37" s="3" t="s">
        <v>131</v>
      </c>
      <c r="D37" s="3" t="s">
        <v>55</v>
      </c>
      <c r="E37" s="3" t="s">
        <v>151</v>
      </c>
      <c r="F37" s="3" t="s">
        <v>158</v>
      </c>
      <c r="G37" s="3" t="s">
        <v>94</v>
      </c>
      <c r="H37" s="4" t="n">
        <v>39.15</v>
      </c>
      <c r="I37" s="3" t="s">
        <v>45</v>
      </c>
      <c r="J37" s="3" t="s">
        <v>59</v>
      </c>
    </row>
    <row r="38" customFormat="false" ht="15" hidden="false" customHeight="false" outlineLevel="0" collapsed="false">
      <c r="A38" s="3" t="s">
        <v>159</v>
      </c>
      <c r="B38" s="2" t="n">
        <v>46102</v>
      </c>
      <c r="C38" s="3" t="s">
        <v>160</v>
      </c>
      <c r="D38" s="3" t="s">
        <v>41</v>
      </c>
      <c r="E38" s="3" t="s">
        <v>161</v>
      </c>
      <c r="F38" s="3" t="s">
        <v>162</v>
      </c>
      <c r="G38" s="3" t="s">
        <v>87</v>
      </c>
      <c r="H38" s="4" t="n">
        <v>21.25</v>
      </c>
      <c r="I38" s="3" t="s">
        <v>45</v>
      </c>
      <c r="J38" s="3" t="s">
        <v>46</v>
      </c>
    </row>
    <row r="39" customFormat="false" ht="15" hidden="false" customHeight="false" outlineLevel="0" collapsed="false">
      <c r="A39" s="3" t="s">
        <v>163</v>
      </c>
      <c r="B39" s="2" t="n">
        <v>46102</v>
      </c>
      <c r="C39" s="3" t="s">
        <v>160</v>
      </c>
      <c r="D39" s="3" t="s">
        <v>62</v>
      </c>
      <c r="E39" s="3" t="s">
        <v>164</v>
      </c>
      <c r="F39" s="3" t="s">
        <v>118</v>
      </c>
      <c r="G39" s="3" t="s">
        <v>52</v>
      </c>
      <c r="H39" s="4" t="n">
        <v>28.38</v>
      </c>
      <c r="I39" s="3" t="s">
        <v>45</v>
      </c>
      <c r="J39" s="3" t="s">
        <v>59</v>
      </c>
    </row>
    <row r="40" customFormat="false" ht="15" hidden="false" customHeight="false" outlineLevel="0" collapsed="false">
      <c r="A40" s="3" t="s">
        <v>165</v>
      </c>
      <c r="B40" s="2" t="n">
        <v>46102</v>
      </c>
      <c r="C40" s="3" t="s">
        <v>166</v>
      </c>
      <c r="D40" s="3" t="s">
        <v>62</v>
      </c>
      <c r="E40" s="3" t="s">
        <v>167</v>
      </c>
      <c r="F40" s="3" t="s">
        <v>120</v>
      </c>
      <c r="G40" s="3" t="s">
        <v>99</v>
      </c>
      <c r="H40" s="4" t="n">
        <v>25.72</v>
      </c>
      <c r="I40" s="3" t="s">
        <v>70</v>
      </c>
      <c r="J40" s="3" t="s">
        <v>46</v>
      </c>
    </row>
    <row r="41" customFormat="false" ht="15" hidden="false" customHeight="false" outlineLevel="0" collapsed="false">
      <c r="A41" s="3" t="s">
        <v>168</v>
      </c>
      <c r="B41" s="2" t="n">
        <v>46103</v>
      </c>
      <c r="C41" s="3" t="s">
        <v>169</v>
      </c>
      <c r="D41" s="3" t="s">
        <v>67</v>
      </c>
      <c r="E41" s="3" t="s">
        <v>164</v>
      </c>
      <c r="F41" s="3" t="s">
        <v>170</v>
      </c>
      <c r="G41" s="3" t="s">
        <v>58</v>
      </c>
      <c r="H41" s="4" t="n">
        <v>33.15</v>
      </c>
      <c r="I41" s="3" t="s">
        <v>70</v>
      </c>
      <c r="J41" s="3" t="s">
        <v>59</v>
      </c>
    </row>
    <row r="42" customFormat="false" ht="15" hidden="false" customHeight="false" outlineLevel="0" collapsed="false">
      <c r="A42" s="3" t="s">
        <v>171</v>
      </c>
      <c r="B42" s="2" t="n">
        <v>46103</v>
      </c>
      <c r="C42" s="3" t="s">
        <v>66</v>
      </c>
      <c r="D42" s="3" t="s">
        <v>41</v>
      </c>
      <c r="E42" s="3" t="s">
        <v>172</v>
      </c>
      <c r="F42" s="3" t="s">
        <v>173</v>
      </c>
      <c r="G42" s="3" t="s">
        <v>44</v>
      </c>
      <c r="H42" s="4" t="n">
        <v>13.22</v>
      </c>
      <c r="I42" s="3" t="s">
        <v>45</v>
      </c>
      <c r="J42" s="3" t="s">
        <v>59</v>
      </c>
    </row>
    <row r="43" customFormat="false" ht="15" hidden="false" customHeight="false" outlineLevel="0" collapsed="false">
      <c r="A43" s="3" t="s">
        <v>174</v>
      </c>
      <c r="B43" s="2" t="n">
        <v>46104</v>
      </c>
      <c r="C43" s="3" t="s">
        <v>175</v>
      </c>
      <c r="D43" s="3" t="s">
        <v>55</v>
      </c>
      <c r="E43" s="3" t="s">
        <v>63</v>
      </c>
      <c r="F43" s="3" t="s">
        <v>57</v>
      </c>
      <c r="G43" s="3" t="s">
        <v>90</v>
      </c>
      <c r="H43" s="4" t="n">
        <v>17.71</v>
      </c>
      <c r="I43" s="3" t="s">
        <v>70</v>
      </c>
      <c r="J43" s="3" t="s">
        <v>46</v>
      </c>
    </row>
    <row r="44" customFormat="false" ht="15" hidden="false" customHeight="false" outlineLevel="0" collapsed="false">
      <c r="A44" s="3" t="s">
        <v>176</v>
      </c>
      <c r="B44" s="2" t="n">
        <v>46104</v>
      </c>
      <c r="C44" s="3" t="s">
        <v>177</v>
      </c>
      <c r="D44" s="3" t="s">
        <v>67</v>
      </c>
      <c r="E44" s="3" t="s">
        <v>56</v>
      </c>
      <c r="F44" s="3" t="s">
        <v>57</v>
      </c>
      <c r="G44" s="3" t="s">
        <v>90</v>
      </c>
      <c r="H44" s="4" t="n">
        <v>22.28</v>
      </c>
      <c r="I44" s="3" t="s">
        <v>70</v>
      </c>
      <c r="J44" s="3" t="s">
        <v>59</v>
      </c>
    </row>
    <row r="45" customFormat="false" ht="15" hidden="false" customHeight="false" outlineLevel="0" collapsed="false">
      <c r="A45" s="3" t="s">
        <v>178</v>
      </c>
      <c r="B45" s="2" t="n">
        <v>46104</v>
      </c>
      <c r="C45" s="3" t="s">
        <v>179</v>
      </c>
      <c r="D45" s="3" t="s">
        <v>62</v>
      </c>
      <c r="E45" s="3" t="s">
        <v>102</v>
      </c>
      <c r="F45" s="3" t="s">
        <v>158</v>
      </c>
      <c r="G45" s="3" t="s">
        <v>87</v>
      </c>
      <c r="H45" s="4" t="n">
        <v>10.54</v>
      </c>
      <c r="I45" s="3" t="s">
        <v>81</v>
      </c>
      <c r="J45" s="3" t="s">
        <v>59</v>
      </c>
    </row>
    <row r="46" customFormat="false" ht="15" hidden="false" customHeight="false" outlineLevel="0" collapsed="false">
      <c r="A46" s="3" t="s">
        <v>180</v>
      </c>
      <c r="B46" s="2" t="n">
        <v>46105</v>
      </c>
      <c r="C46" s="3" t="s">
        <v>105</v>
      </c>
      <c r="D46" s="3" t="s">
        <v>49</v>
      </c>
      <c r="E46" s="3" t="s">
        <v>114</v>
      </c>
      <c r="F46" s="3" t="s">
        <v>80</v>
      </c>
      <c r="G46" s="3" t="s">
        <v>109</v>
      </c>
      <c r="H46" s="4" t="n">
        <v>11.38</v>
      </c>
      <c r="I46" s="3" t="s">
        <v>81</v>
      </c>
      <c r="J46" s="3" t="s">
        <v>46</v>
      </c>
    </row>
    <row r="47" customFormat="false" ht="15" hidden="false" customHeight="false" outlineLevel="0" collapsed="false">
      <c r="A47" s="3" t="s">
        <v>181</v>
      </c>
      <c r="B47" s="2" t="n">
        <v>46106</v>
      </c>
      <c r="C47" s="3" t="s">
        <v>160</v>
      </c>
      <c r="D47" s="3" t="s">
        <v>55</v>
      </c>
      <c r="E47" s="3" t="s">
        <v>42</v>
      </c>
      <c r="F47" s="3" t="s">
        <v>143</v>
      </c>
      <c r="G47" s="3" t="s">
        <v>52</v>
      </c>
      <c r="H47" s="4" t="n">
        <v>10.78</v>
      </c>
      <c r="I47" s="3" t="s">
        <v>81</v>
      </c>
      <c r="J47" s="3" t="s">
        <v>59</v>
      </c>
    </row>
    <row r="48" customFormat="false" ht="15" hidden="false" customHeight="false" outlineLevel="0" collapsed="false">
      <c r="A48" s="3" t="s">
        <v>182</v>
      </c>
      <c r="B48" s="2" t="n">
        <v>46107</v>
      </c>
      <c r="C48" s="3" t="s">
        <v>97</v>
      </c>
      <c r="D48" s="3" t="s">
        <v>111</v>
      </c>
      <c r="E48" s="3" t="s">
        <v>79</v>
      </c>
      <c r="F48" s="3" t="s">
        <v>162</v>
      </c>
      <c r="G48" s="3" t="s">
        <v>106</v>
      </c>
      <c r="H48" s="4" t="n">
        <v>28.8</v>
      </c>
      <c r="I48" s="3" t="s">
        <v>81</v>
      </c>
      <c r="J48" s="3" t="s">
        <v>59</v>
      </c>
    </row>
    <row r="49" customFormat="false" ht="15" hidden="false" customHeight="false" outlineLevel="0" collapsed="false">
      <c r="A49" s="3" t="s">
        <v>183</v>
      </c>
      <c r="B49" s="2" t="n">
        <v>46108</v>
      </c>
      <c r="C49" s="3" t="s">
        <v>184</v>
      </c>
      <c r="D49" s="3" t="s">
        <v>41</v>
      </c>
      <c r="E49" s="3" t="s">
        <v>185</v>
      </c>
      <c r="F49" s="3" t="s">
        <v>74</v>
      </c>
      <c r="G49" s="3" t="s">
        <v>75</v>
      </c>
      <c r="H49" s="4" t="n">
        <v>41.75</v>
      </c>
      <c r="I49" s="3" t="s">
        <v>45</v>
      </c>
      <c r="J49" s="3" t="s">
        <v>59</v>
      </c>
    </row>
    <row r="50" customFormat="false" ht="15" hidden="false" customHeight="false" outlineLevel="0" collapsed="false">
      <c r="A50" s="3" t="s">
        <v>186</v>
      </c>
      <c r="B50" s="2" t="n">
        <v>46109</v>
      </c>
      <c r="C50" s="3" t="s">
        <v>187</v>
      </c>
      <c r="D50" s="3" t="s">
        <v>41</v>
      </c>
      <c r="E50" s="3" t="s">
        <v>188</v>
      </c>
      <c r="F50" s="3" t="s">
        <v>43</v>
      </c>
      <c r="G50" s="3" t="s">
        <v>58</v>
      </c>
      <c r="H50" s="4" t="n">
        <v>40.35</v>
      </c>
      <c r="I50" s="3" t="s">
        <v>45</v>
      </c>
      <c r="J50" s="3" t="s">
        <v>59</v>
      </c>
    </row>
    <row r="51" customFormat="false" ht="15" hidden="false" customHeight="false" outlineLevel="0" collapsed="false">
      <c r="A51" s="3" t="s">
        <v>189</v>
      </c>
      <c r="B51" s="2" t="n">
        <v>46110</v>
      </c>
      <c r="C51" s="3" t="s">
        <v>184</v>
      </c>
      <c r="D51" s="3" t="s">
        <v>41</v>
      </c>
      <c r="E51" s="3" t="s">
        <v>190</v>
      </c>
      <c r="F51" s="3" t="s">
        <v>69</v>
      </c>
      <c r="G51" s="3" t="s">
        <v>52</v>
      </c>
      <c r="H51" s="4" t="n">
        <v>14.18</v>
      </c>
      <c r="I51" s="3" t="s">
        <v>45</v>
      </c>
      <c r="J51" s="3" t="s">
        <v>59</v>
      </c>
    </row>
    <row r="52" customFormat="false" ht="15" hidden="false" customHeight="false" outlineLevel="0" collapsed="false">
      <c r="A52" s="3" t="s">
        <v>191</v>
      </c>
      <c r="B52" s="2" t="n">
        <v>46111</v>
      </c>
      <c r="C52" s="3" t="s">
        <v>192</v>
      </c>
      <c r="D52" s="3" t="s">
        <v>78</v>
      </c>
      <c r="E52" s="3" t="s">
        <v>193</v>
      </c>
      <c r="F52" s="3" t="s">
        <v>158</v>
      </c>
      <c r="G52" s="3" t="s">
        <v>58</v>
      </c>
      <c r="H52" s="4" t="n">
        <v>12.85</v>
      </c>
      <c r="I52" s="3" t="s">
        <v>81</v>
      </c>
      <c r="J52" s="3" t="s">
        <v>59</v>
      </c>
    </row>
    <row r="53" customFormat="false" ht="15" hidden="false" customHeight="false" outlineLevel="0" collapsed="false">
      <c r="A53" s="3" t="s">
        <v>194</v>
      </c>
      <c r="B53" s="2" t="n">
        <v>46111</v>
      </c>
      <c r="C53" s="3" t="s">
        <v>105</v>
      </c>
      <c r="D53" s="3" t="s">
        <v>41</v>
      </c>
      <c r="E53" s="3" t="s">
        <v>102</v>
      </c>
      <c r="F53" s="3" t="s">
        <v>74</v>
      </c>
      <c r="G53" s="3" t="s">
        <v>44</v>
      </c>
      <c r="H53" s="4" t="n">
        <v>38.93</v>
      </c>
      <c r="I53" s="3" t="s">
        <v>45</v>
      </c>
      <c r="J53" s="3" t="s">
        <v>46</v>
      </c>
    </row>
    <row r="54" customFormat="false" ht="15" hidden="false" customHeight="false" outlineLevel="0" collapsed="false">
      <c r="A54" s="3" t="s">
        <v>195</v>
      </c>
      <c r="B54" s="2" t="n">
        <v>46111</v>
      </c>
      <c r="C54" s="3" t="s">
        <v>196</v>
      </c>
      <c r="D54" s="3" t="s">
        <v>41</v>
      </c>
      <c r="E54" s="3" t="s">
        <v>197</v>
      </c>
      <c r="F54" s="3" t="s">
        <v>198</v>
      </c>
      <c r="G54" s="3" t="s">
        <v>94</v>
      </c>
      <c r="H54" s="4" t="n">
        <v>43.45</v>
      </c>
      <c r="I54" s="3" t="s">
        <v>45</v>
      </c>
      <c r="J54" s="3" t="s">
        <v>46</v>
      </c>
    </row>
    <row r="55" customFormat="false" ht="15" hidden="false" customHeight="false" outlineLevel="0" collapsed="false">
      <c r="A55" s="3" t="s">
        <v>199</v>
      </c>
      <c r="B55" s="2" t="n">
        <v>46112</v>
      </c>
      <c r="C55" s="3" t="s">
        <v>40</v>
      </c>
      <c r="D55" s="3" t="s">
        <v>41</v>
      </c>
      <c r="E55" s="3" t="s">
        <v>200</v>
      </c>
      <c r="F55" s="3" t="s">
        <v>43</v>
      </c>
      <c r="G55" s="3" t="s">
        <v>90</v>
      </c>
      <c r="H55" s="4" t="n">
        <v>25.36</v>
      </c>
      <c r="I55" s="3" t="s">
        <v>45</v>
      </c>
      <c r="J55" s="3" t="s">
        <v>59</v>
      </c>
    </row>
    <row r="56" customFormat="false" ht="15" hidden="false" customHeight="false" outlineLevel="0" collapsed="false">
      <c r="A56" s="3" t="s">
        <v>201</v>
      </c>
      <c r="B56" s="2" t="n">
        <v>46112</v>
      </c>
      <c r="C56" s="3" t="s">
        <v>138</v>
      </c>
      <c r="D56" s="3" t="s">
        <v>41</v>
      </c>
      <c r="E56" s="3" t="s">
        <v>202</v>
      </c>
      <c r="F56" s="3" t="s">
        <v>74</v>
      </c>
      <c r="G56" s="3" t="s">
        <v>87</v>
      </c>
      <c r="H56" s="4" t="n">
        <v>28.48</v>
      </c>
      <c r="I56" s="3" t="s">
        <v>45</v>
      </c>
      <c r="J56" s="3" t="s">
        <v>46</v>
      </c>
    </row>
    <row r="57" customFormat="false" ht="15" hidden="false" customHeight="false" outlineLevel="0" collapsed="false">
      <c r="A57" s="3" t="s">
        <v>203</v>
      </c>
      <c r="B57" s="2" t="n">
        <v>46112</v>
      </c>
      <c r="C57" s="3" t="s">
        <v>204</v>
      </c>
      <c r="D57" s="3" t="s">
        <v>41</v>
      </c>
      <c r="E57" s="3" t="s">
        <v>42</v>
      </c>
      <c r="F57" s="3" t="s">
        <v>64</v>
      </c>
      <c r="G57" s="3" t="s">
        <v>87</v>
      </c>
      <c r="H57" s="4" t="n">
        <v>21.7</v>
      </c>
      <c r="I57" s="3" t="s">
        <v>81</v>
      </c>
      <c r="J57" s="3" t="s">
        <v>46</v>
      </c>
    </row>
    <row r="58" customFormat="false" ht="15" hidden="false" customHeight="false" outlineLevel="0" collapsed="false">
      <c r="A58" s="3" t="s">
        <v>205</v>
      </c>
      <c r="B58" s="2" t="n">
        <v>46112</v>
      </c>
      <c r="C58" s="3" t="s">
        <v>129</v>
      </c>
      <c r="D58" s="3" t="s">
        <v>78</v>
      </c>
      <c r="E58" s="3" t="s">
        <v>206</v>
      </c>
      <c r="F58" s="3" t="s">
        <v>80</v>
      </c>
      <c r="G58" s="3" t="s">
        <v>87</v>
      </c>
      <c r="H58" s="4" t="n">
        <v>12.62</v>
      </c>
      <c r="I58" s="3" t="s">
        <v>81</v>
      </c>
      <c r="J58" s="3" t="s">
        <v>59</v>
      </c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 t="s">
        <v>207</v>
      </c>
      <c r="H59" s="4" t="n">
        <f aca="false">SUM(H2:H58)</f>
        <v>1324.34</v>
      </c>
      <c r="I59" s="3"/>
      <c r="J59" s="3"/>
    </row>
    <row r="61" customFormat="false" ht="15" hidden="false" customHeight="false" outlineLevel="0" collapsed="false">
      <c r="A61" s="13" t="s">
        <v>208</v>
      </c>
    </row>
    <row r="62" customFormat="false" ht="15" hidden="false" customHeight="false" outlineLevel="0" collapsed="false">
      <c r="A62" s="14" t="s">
        <v>32</v>
      </c>
      <c r="B62" s="14" t="s">
        <v>209</v>
      </c>
      <c r="C62" s="14" t="s">
        <v>210</v>
      </c>
      <c r="D62" s="14" t="s">
        <v>211</v>
      </c>
      <c r="E62" s="14" t="s">
        <v>212</v>
      </c>
    </row>
    <row r="63" customFormat="false" ht="15" hidden="false" customHeight="false" outlineLevel="0" collapsed="false">
      <c r="A63" s="0" t="s">
        <v>55</v>
      </c>
      <c r="B63" s="0" t="n">
        <f aca="false">COUNTIF(D2:D58,A63)</f>
        <v>6</v>
      </c>
      <c r="C63" s="15" t="n">
        <f aca="false">SUMIF(D2:D58,A63,H2:H58)</f>
        <v>154.98</v>
      </c>
      <c r="D63" s="15" t="n">
        <f aca="false">IF(B63=0,0,C63/B63)</f>
        <v>25.83</v>
      </c>
      <c r="E63" s="16" t="n">
        <f aca="false">IF(B63=0,0,COUNTIFS(D2:D58,A63,J2:J58,"Void")/B63)</f>
        <v>0.666666666666667</v>
      </c>
    </row>
    <row r="64" customFormat="false" ht="15" hidden="false" customHeight="false" outlineLevel="0" collapsed="false">
      <c r="A64" s="0" t="s">
        <v>78</v>
      </c>
      <c r="B64" s="0" t="n">
        <f aca="false">COUNTIF(D2:D58,A64)</f>
        <v>5</v>
      </c>
      <c r="C64" s="15" t="n">
        <f aca="false">SUMIF(D2:D58,A64,H2:H58)</f>
        <v>130.72</v>
      </c>
      <c r="D64" s="15" t="n">
        <f aca="false">IF(B64=0,0,C64/B64)</f>
        <v>26.144</v>
      </c>
      <c r="E64" s="16" t="n">
        <f aca="false">IF(B64=0,0,COUNTIFS(D2:D58,A64,J2:J58,"Void")/B64)</f>
        <v>1</v>
      </c>
    </row>
    <row r="65" customFormat="false" ht="15" hidden="false" customHeight="false" outlineLevel="0" collapsed="false">
      <c r="A65" s="0" t="s">
        <v>62</v>
      </c>
      <c r="B65" s="0" t="n">
        <f aca="false">COUNTIF(D2:D58,A65)</f>
        <v>7</v>
      </c>
      <c r="C65" s="15" t="n">
        <f aca="false">SUMIF(D2:D58,A65,H2:H58)</f>
        <v>184.59</v>
      </c>
      <c r="D65" s="15" t="n">
        <f aca="false">IF(B65=0,0,C65/B65)</f>
        <v>26.37</v>
      </c>
      <c r="E65" s="16" t="n">
        <f aca="false">IF(B65=0,0,COUNTIFS(D2:D58,A65,J2:J58,"Void")/B65)</f>
        <v>0.714285714285714</v>
      </c>
    </row>
    <row r="66" customFormat="false" ht="15" hidden="false" customHeight="false" outlineLevel="0" collapsed="false">
      <c r="A66" s="0" t="s">
        <v>41</v>
      </c>
      <c r="B66" s="0" t="n">
        <f aca="false">COUNTIF(D2:D58,A66)</f>
        <v>20</v>
      </c>
      <c r="C66" s="15" t="n">
        <f aca="false">SUMIF(D2:D58,A66,H2:H58)</f>
        <v>548.49</v>
      </c>
      <c r="D66" s="15" t="n">
        <f aca="false">IF(B66=0,0,C66/B66)</f>
        <v>27.4245</v>
      </c>
      <c r="E66" s="16" t="n">
        <f aca="false">IF(B66=0,0,COUNTIFS(D2:D58,A66,J2:J58,"Void")/B66)</f>
        <v>0.4</v>
      </c>
    </row>
    <row r="67" customFormat="false" ht="15" hidden="false" customHeight="false" outlineLevel="0" collapsed="false">
      <c r="A67" s="0" t="s">
        <v>111</v>
      </c>
      <c r="B67" s="0" t="n">
        <f aca="false">COUNTIF(D2:D58,A67)</f>
        <v>4</v>
      </c>
      <c r="C67" s="15" t="n">
        <f aca="false">SUMIF(D2:D58,A67,H2:H58)</f>
        <v>104.11</v>
      </c>
      <c r="D67" s="15" t="n">
        <f aca="false">IF(B67=0,0,C67/B67)</f>
        <v>26.0275</v>
      </c>
      <c r="E67" s="16" t="n">
        <f aca="false">IF(B67=0,0,COUNTIFS(D2:D58,A67,J2:J58,"Void")/B67)</f>
        <v>0.5</v>
      </c>
    </row>
    <row r="68" customFormat="false" ht="15" hidden="false" customHeight="false" outlineLevel="0" collapsed="false">
      <c r="A68" s="0" t="s">
        <v>49</v>
      </c>
      <c r="B68" s="0" t="n">
        <f aca="false">COUNTIF(D2:D58,A68)</f>
        <v>10</v>
      </c>
      <c r="C68" s="15" t="n">
        <f aca="false">SUMIF(D2:D58,A68,H2:H58)</f>
        <v>117.72</v>
      </c>
      <c r="D68" s="15" t="n">
        <f aca="false">IF(B68=0,0,C68/B68)</f>
        <v>11.772</v>
      </c>
      <c r="E68" s="16" t="n">
        <f aca="false">IF(B68=0,0,COUNTIFS(D2:D58,A68,J2:J58,"Void")/B68)</f>
        <v>0.2</v>
      </c>
    </row>
    <row r="69" customFormat="false" ht="15" hidden="false" customHeight="false" outlineLevel="0" collapsed="false">
      <c r="A69" s="0" t="s">
        <v>67</v>
      </c>
      <c r="B69" s="0" t="n">
        <f aca="false">COUNTIF(D2:D58,A69)</f>
        <v>5</v>
      </c>
      <c r="C69" s="15" t="n">
        <f aca="false">SUMIF(D2:D58,A69,H2:H58)</f>
        <v>83.73</v>
      </c>
      <c r="D69" s="15" t="n">
        <f aca="false">IF(B69=0,0,C69/B69)</f>
        <v>16.746</v>
      </c>
      <c r="E69" s="16" t="n">
        <f aca="false">IF(B69=0,0,COUNTIFS(D2:D58,A69,J2:J58,"Void")/B69)</f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10" min="3" style="0" width="14"/>
  </cols>
  <sheetData>
    <row r="1" customFormat="false" ht="26.85" hidden="false" customHeight="false" outlineLevel="0" collapsed="false">
      <c r="A1" s="17" t="s">
        <v>213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  <c r="I1" s="17" t="s">
        <v>221</v>
      </c>
      <c r="J1" s="17" t="s">
        <v>222</v>
      </c>
    </row>
    <row r="2" customFormat="false" ht="15" hidden="false" customHeight="false" outlineLevel="0" collapsed="false">
      <c r="A2" s="3" t="s">
        <v>223</v>
      </c>
      <c r="B2" s="3" t="s">
        <v>118</v>
      </c>
      <c r="C2" s="4" t="n">
        <v>14.99</v>
      </c>
      <c r="D2" s="4" t="n">
        <v>4.2</v>
      </c>
      <c r="E2" s="8" t="n">
        <f aca="false">D2/C2</f>
        <v>0.280186791194129</v>
      </c>
      <c r="F2" s="3" t="n">
        <v>70</v>
      </c>
      <c r="G2" s="4" t="n">
        <f aca="false">C2*F2</f>
        <v>1049.3</v>
      </c>
      <c r="H2" s="4" t="n">
        <f aca="false">D2*F2</f>
        <v>294</v>
      </c>
      <c r="I2" s="4" t="n">
        <f aca="false">G2-H2</f>
        <v>755.3</v>
      </c>
      <c r="J2" s="8" t="n">
        <f aca="false">IF(G2=0,0,I2/G2)</f>
        <v>0.719813208805871</v>
      </c>
    </row>
    <row r="3" customFormat="false" ht="15" hidden="false" customHeight="false" outlineLevel="0" collapsed="false">
      <c r="A3" s="3" t="s">
        <v>223</v>
      </c>
      <c r="B3" s="3" t="s">
        <v>173</v>
      </c>
      <c r="C3" s="4" t="n">
        <v>7.99</v>
      </c>
      <c r="D3" s="4" t="n">
        <v>1.8</v>
      </c>
      <c r="E3" s="8" t="n">
        <f aca="false">D3/C3</f>
        <v>0.225281602002503</v>
      </c>
      <c r="F3" s="3" t="n">
        <v>140</v>
      </c>
      <c r="G3" s="4" t="n">
        <f aca="false">C3*F3</f>
        <v>1118.6</v>
      </c>
      <c r="H3" s="4" t="n">
        <f aca="false">D3*F3</f>
        <v>252</v>
      </c>
      <c r="I3" s="4" t="n">
        <f aca="false">G3-H3</f>
        <v>866.6</v>
      </c>
      <c r="J3" s="8" t="n">
        <f aca="false">IF(G3=0,0,I3/G3)</f>
        <v>0.774718397997497</v>
      </c>
    </row>
    <row r="4" customFormat="false" ht="15" hidden="false" customHeight="false" outlineLevel="0" collapsed="false">
      <c r="A4" s="3" t="s">
        <v>223</v>
      </c>
      <c r="B4" s="3" t="s">
        <v>224</v>
      </c>
      <c r="C4" s="4" t="n">
        <v>10.99</v>
      </c>
      <c r="D4" s="4" t="n">
        <v>2.5</v>
      </c>
      <c r="E4" s="8" t="n">
        <f aca="false">D4/C4</f>
        <v>0.227479526842584</v>
      </c>
      <c r="F4" s="3" t="n">
        <v>104</v>
      </c>
      <c r="G4" s="4" t="n">
        <f aca="false">C4*F4</f>
        <v>1142.96</v>
      </c>
      <c r="H4" s="4" t="n">
        <f aca="false">D4*F4</f>
        <v>260</v>
      </c>
      <c r="I4" s="4" t="n">
        <f aca="false">G4-H4</f>
        <v>882.96</v>
      </c>
      <c r="J4" s="8" t="n">
        <f aca="false">IF(G4=0,0,I4/G4)</f>
        <v>0.772520473157416</v>
      </c>
    </row>
    <row r="5" customFormat="false" ht="15" hidden="false" customHeight="false" outlineLevel="0" collapsed="false">
      <c r="A5" s="3" t="s">
        <v>223</v>
      </c>
      <c r="B5" s="3" t="s">
        <v>225</v>
      </c>
      <c r="C5" s="4" t="n">
        <v>12.99</v>
      </c>
      <c r="D5" s="4" t="n">
        <v>3.4</v>
      </c>
      <c r="E5" s="8" t="n">
        <f aca="false">D5/C5</f>
        <v>0.261739799846035</v>
      </c>
      <c r="F5" s="3" t="n">
        <v>102</v>
      </c>
      <c r="G5" s="4" t="n">
        <f aca="false">C5*F5</f>
        <v>1324.98</v>
      </c>
      <c r="H5" s="4" t="n">
        <f aca="false">D5*F5</f>
        <v>346.8</v>
      </c>
      <c r="I5" s="4" t="n">
        <f aca="false">G5-H5</f>
        <v>978.18</v>
      </c>
      <c r="J5" s="8" t="n">
        <f aca="false">IF(G5=0,0,I5/G5)</f>
        <v>0.738260200153965</v>
      </c>
    </row>
    <row r="6" customFormat="false" ht="15" hidden="false" customHeight="false" outlineLevel="0" collapsed="false">
      <c r="A6" s="3" t="s">
        <v>226</v>
      </c>
      <c r="B6" s="3" t="s">
        <v>74</v>
      </c>
      <c r="C6" s="4" t="n">
        <v>34.99</v>
      </c>
      <c r="D6" s="4" t="n">
        <v>12.5</v>
      </c>
      <c r="E6" s="8" t="n">
        <f aca="false">D6/C6</f>
        <v>0.357244927122035</v>
      </c>
      <c r="F6" s="3" t="n">
        <v>320</v>
      </c>
      <c r="G6" s="4" t="n">
        <f aca="false">C6*F6</f>
        <v>11196.8</v>
      </c>
      <c r="H6" s="4" t="n">
        <f aca="false">D6*F6</f>
        <v>4000</v>
      </c>
      <c r="I6" s="4" t="n">
        <f aca="false">G6-H6</f>
        <v>7196.8</v>
      </c>
      <c r="J6" s="8" t="n">
        <f aca="false">IF(G6=0,0,I6/G6)</f>
        <v>0.642755072877965</v>
      </c>
    </row>
    <row r="7" customFormat="false" ht="15" hidden="false" customHeight="false" outlineLevel="0" collapsed="false">
      <c r="A7" s="3" t="s">
        <v>226</v>
      </c>
      <c r="B7" s="3" t="s">
        <v>43</v>
      </c>
      <c r="C7" s="4" t="n">
        <v>28.99</v>
      </c>
      <c r="D7" s="4" t="n">
        <v>9.8</v>
      </c>
      <c r="E7" s="8" t="n">
        <f aca="false">D7/C7</f>
        <v>0.338047602621594</v>
      </c>
      <c r="F7" s="3" t="n">
        <v>259</v>
      </c>
      <c r="G7" s="4" t="n">
        <f aca="false">C7*F7</f>
        <v>7508.41</v>
      </c>
      <c r="H7" s="4" t="n">
        <f aca="false">D7*F7</f>
        <v>2538.2</v>
      </c>
      <c r="I7" s="4" t="n">
        <f aca="false">G7-H7</f>
        <v>4970.21</v>
      </c>
      <c r="J7" s="8" t="n">
        <f aca="false">IF(G7=0,0,I7/G7)</f>
        <v>0.661952397378406</v>
      </c>
    </row>
    <row r="8" customFormat="false" ht="15" hidden="false" customHeight="false" outlineLevel="0" collapsed="false">
      <c r="A8" s="3" t="s">
        <v>226</v>
      </c>
      <c r="B8" s="3" t="s">
        <v>69</v>
      </c>
      <c r="C8" s="4" t="n">
        <v>19.99</v>
      </c>
      <c r="D8" s="4" t="n">
        <v>5.6</v>
      </c>
      <c r="E8" s="8" t="n">
        <f aca="false">D8/C8</f>
        <v>0.280140070035018</v>
      </c>
      <c r="F8" s="3" t="n">
        <v>316</v>
      </c>
      <c r="G8" s="4" t="n">
        <f aca="false">C8*F8</f>
        <v>6316.84</v>
      </c>
      <c r="H8" s="4" t="n">
        <f aca="false">D8*F8</f>
        <v>1769.6</v>
      </c>
      <c r="I8" s="4" t="n">
        <f aca="false">G8-H8</f>
        <v>4547.24</v>
      </c>
      <c r="J8" s="8" t="n">
        <f aca="false">IF(G8=0,0,I8/G8)</f>
        <v>0.719859929964983</v>
      </c>
    </row>
    <row r="9" customFormat="false" ht="15" hidden="false" customHeight="false" outlineLevel="0" collapsed="false">
      <c r="A9" s="3" t="s">
        <v>226</v>
      </c>
      <c r="B9" s="3" t="s">
        <v>149</v>
      </c>
      <c r="C9" s="4" t="n">
        <v>16.99</v>
      </c>
      <c r="D9" s="4" t="n">
        <v>3.9</v>
      </c>
      <c r="E9" s="8" t="n">
        <f aca="false">D9/C9</f>
        <v>0.229546792230724</v>
      </c>
      <c r="F9" s="3" t="n">
        <v>40</v>
      </c>
      <c r="G9" s="4" t="n">
        <f aca="false">C9*F9</f>
        <v>679.6</v>
      </c>
      <c r="H9" s="4" t="n">
        <f aca="false">D9*F9</f>
        <v>156</v>
      </c>
      <c r="I9" s="4" t="n">
        <f aca="false">G9-H9</f>
        <v>523.6</v>
      </c>
      <c r="J9" s="8" t="n">
        <f aca="false">IF(G9=0,0,I9/G9)</f>
        <v>0.770453207769276</v>
      </c>
    </row>
    <row r="10" customFormat="false" ht="15" hidden="false" customHeight="false" outlineLevel="0" collapsed="false">
      <c r="A10" s="3" t="s">
        <v>226</v>
      </c>
      <c r="B10" s="3" t="s">
        <v>158</v>
      </c>
      <c r="C10" s="4" t="n">
        <v>15.99</v>
      </c>
      <c r="D10" s="4" t="n">
        <v>4.5</v>
      </c>
      <c r="E10" s="8" t="n">
        <f aca="false">D10/C10</f>
        <v>0.281425891181989</v>
      </c>
      <c r="F10" s="3" t="n">
        <v>97</v>
      </c>
      <c r="G10" s="4" t="n">
        <f aca="false">C10*F10</f>
        <v>1551.03</v>
      </c>
      <c r="H10" s="4" t="n">
        <f aca="false">D10*F10</f>
        <v>436.5</v>
      </c>
      <c r="I10" s="4" t="n">
        <f aca="false">G10-H10</f>
        <v>1114.53</v>
      </c>
      <c r="J10" s="8" t="n">
        <f aca="false">IF(G10=0,0,I10/G10)</f>
        <v>0.718574108818011</v>
      </c>
    </row>
    <row r="11" customFormat="false" ht="15" hidden="false" customHeight="false" outlineLevel="0" collapsed="false">
      <c r="A11" s="3" t="s">
        <v>226</v>
      </c>
      <c r="B11" s="3" t="s">
        <v>162</v>
      </c>
      <c r="C11" s="4" t="n">
        <v>17.99</v>
      </c>
      <c r="D11" s="4" t="n">
        <v>5.1</v>
      </c>
      <c r="E11" s="8" t="n">
        <f aca="false">D11/C11</f>
        <v>0.28349082823791</v>
      </c>
      <c r="F11" s="3" t="n">
        <v>104</v>
      </c>
      <c r="G11" s="4" t="n">
        <f aca="false">C11*F11</f>
        <v>1870.96</v>
      </c>
      <c r="H11" s="4" t="n">
        <f aca="false">D11*F11</f>
        <v>530.4</v>
      </c>
      <c r="I11" s="4" t="n">
        <f aca="false">G11-H11</f>
        <v>1340.56</v>
      </c>
      <c r="J11" s="8" t="n">
        <f aca="false">IF(G11=0,0,I11/G11)</f>
        <v>0.71650917176209</v>
      </c>
    </row>
    <row r="12" customFormat="false" ht="15" hidden="false" customHeight="false" outlineLevel="0" collapsed="false">
      <c r="A12" s="3" t="s">
        <v>226</v>
      </c>
      <c r="B12" s="3" t="s">
        <v>120</v>
      </c>
      <c r="C12" s="4" t="n">
        <v>18.99</v>
      </c>
      <c r="D12" s="4" t="n">
        <v>6.2</v>
      </c>
      <c r="E12" s="8" t="n">
        <f aca="false">D12/C12</f>
        <v>0.326487625065824</v>
      </c>
      <c r="F12" s="3" t="n">
        <v>136</v>
      </c>
      <c r="G12" s="4" t="n">
        <f aca="false">C12*F12</f>
        <v>2582.64</v>
      </c>
      <c r="H12" s="4" t="n">
        <f aca="false">D12*F12</f>
        <v>843.2</v>
      </c>
      <c r="I12" s="4" t="n">
        <f aca="false">G12-H12</f>
        <v>1739.44</v>
      </c>
      <c r="J12" s="8" t="n">
        <f aca="false">IF(G12=0,0,I12/G12)</f>
        <v>0.673512374934176</v>
      </c>
    </row>
    <row r="13" customFormat="false" ht="15" hidden="false" customHeight="false" outlineLevel="0" collapsed="false">
      <c r="A13" s="3" t="s">
        <v>226</v>
      </c>
      <c r="B13" s="3" t="s">
        <v>198</v>
      </c>
      <c r="C13" s="4" t="n">
        <v>26.99</v>
      </c>
      <c r="D13" s="4" t="n">
        <v>10.5</v>
      </c>
      <c r="E13" s="8" t="n">
        <f aca="false">D13/C13</f>
        <v>0.389032975175991</v>
      </c>
      <c r="F13" s="3" t="n">
        <v>108</v>
      </c>
      <c r="G13" s="4" t="n">
        <f aca="false">C13*F13</f>
        <v>2914.92</v>
      </c>
      <c r="H13" s="4" t="n">
        <f aca="false">D13*F13</f>
        <v>1134</v>
      </c>
      <c r="I13" s="4" t="n">
        <f aca="false">G13-H13</f>
        <v>1780.92</v>
      </c>
      <c r="J13" s="8" t="n">
        <f aca="false">IF(G13=0,0,I13/G13)</f>
        <v>0.610967024824009</v>
      </c>
    </row>
    <row r="14" customFormat="false" ht="15" hidden="false" customHeight="false" outlineLevel="0" collapsed="false">
      <c r="A14" s="3" t="s">
        <v>227</v>
      </c>
      <c r="B14" s="3" t="s">
        <v>228</v>
      </c>
      <c r="C14" s="4" t="n">
        <v>6.99</v>
      </c>
      <c r="D14" s="4" t="n">
        <v>1.4</v>
      </c>
      <c r="E14" s="8" t="n">
        <f aca="false">D14/C14</f>
        <v>0.200286123032904</v>
      </c>
      <c r="F14" s="3" t="n">
        <v>152</v>
      </c>
      <c r="G14" s="4" t="n">
        <f aca="false">C14*F14</f>
        <v>1062.48</v>
      </c>
      <c r="H14" s="4" t="n">
        <f aca="false">D14*F14</f>
        <v>212.8</v>
      </c>
      <c r="I14" s="4" t="n">
        <f aca="false">G14-H14</f>
        <v>849.68</v>
      </c>
      <c r="J14" s="8" t="n">
        <f aca="false">IF(G14=0,0,I14/G14)</f>
        <v>0.799713876967096</v>
      </c>
    </row>
    <row r="15" customFormat="false" ht="15" hidden="false" customHeight="false" outlineLevel="0" collapsed="false">
      <c r="A15" s="3" t="s">
        <v>227</v>
      </c>
      <c r="B15" s="3" t="s">
        <v>229</v>
      </c>
      <c r="C15" s="4" t="n">
        <v>5.99</v>
      </c>
      <c r="D15" s="4" t="n">
        <v>1.1</v>
      </c>
      <c r="E15" s="8" t="n">
        <f aca="false">D15/C15</f>
        <v>0.183639398998331</v>
      </c>
      <c r="F15" s="3" t="n">
        <v>169</v>
      </c>
      <c r="G15" s="4" t="n">
        <f aca="false">C15*F15</f>
        <v>1012.31</v>
      </c>
      <c r="H15" s="4" t="n">
        <f aca="false">D15*F15</f>
        <v>185.9</v>
      </c>
      <c r="I15" s="4" t="n">
        <f aca="false">G15-H15</f>
        <v>826.41</v>
      </c>
      <c r="J15" s="8" t="n">
        <f aca="false">IF(G15=0,0,I15/G15)</f>
        <v>0.81636060100167</v>
      </c>
    </row>
    <row r="16" customFormat="false" ht="15" hidden="false" customHeight="false" outlineLevel="0" collapsed="false">
      <c r="A16" s="3" t="s">
        <v>227</v>
      </c>
      <c r="B16" s="3" t="s">
        <v>230</v>
      </c>
      <c r="C16" s="4" t="n">
        <v>7.99</v>
      </c>
      <c r="D16" s="4" t="n">
        <v>1.8</v>
      </c>
      <c r="E16" s="8" t="n">
        <f aca="false">D16/C16</f>
        <v>0.225281602002503</v>
      </c>
      <c r="F16" s="3" t="n">
        <v>50</v>
      </c>
      <c r="G16" s="4" t="n">
        <f aca="false">C16*F16</f>
        <v>399.5</v>
      </c>
      <c r="H16" s="4" t="n">
        <f aca="false">D16*F16</f>
        <v>90</v>
      </c>
      <c r="I16" s="4" t="n">
        <f aca="false">G16-H16</f>
        <v>309.5</v>
      </c>
      <c r="J16" s="8" t="n">
        <f aca="false">IF(G16=0,0,I16/G16)</f>
        <v>0.774718397997497</v>
      </c>
    </row>
    <row r="17" customFormat="false" ht="15" hidden="false" customHeight="false" outlineLevel="0" collapsed="false">
      <c r="A17" s="3" t="s">
        <v>231</v>
      </c>
      <c r="B17" s="3" t="s">
        <v>51</v>
      </c>
      <c r="C17" s="4" t="n">
        <v>12.99</v>
      </c>
      <c r="D17" s="4" t="n">
        <v>3.2</v>
      </c>
      <c r="E17" s="8" t="n">
        <f aca="false">D17/C17</f>
        <v>0.246343341031563</v>
      </c>
      <c r="F17" s="3" t="n">
        <v>217</v>
      </c>
      <c r="G17" s="4" t="n">
        <f aca="false">C17*F17</f>
        <v>2818.83</v>
      </c>
      <c r="H17" s="4" t="n">
        <f aca="false">D17*F17</f>
        <v>694.4</v>
      </c>
      <c r="I17" s="4" t="n">
        <f aca="false">G17-H17</f>
        <v>2124.43</v>
      </c>
      <c r="J17" s="8" t="n">
        <f aca="false">IF(G17=0,0,I17/G17)</f>
        <v>0.753656658968437</v>
      </c>
    </row>
    <row r="18" customFormat="false" ht="15" hidden="false" customHeight="false" outlineLevel="0" collapsed="false">
      <c r="A18" s="3" t="s">
        <v>231</v>
      </c>
      <c r="B18" s="3" t="s">
        <v>232</v>
      </c>
      <c r="C18" s="4" t="n">
        <v>9.99</v>
      </c>
      <c r="D18" s="4" t="n">
        <v>2.4</v>
      </c>
      <c r="E18" s="8" t="n">
        <f aca="false">D18/C18</f>
        <v>0.24024024024024</v>
      </c>
      <c r="F18" s="3" t="n">
        <v>70</v>
      </c>
      <c r="G18" s="4" t="n">
        <f aca="false">C18*F18</f>
        <v>699.3</v>
      </c>
      <c r="H18" s="4" t="n">
        <f aca="false">D18*F18</f>
        <v>168</v>
      </c>
      <c r="I18" s="4" t="n">
        <f aca="false">G18-H18</f>
        <v>531.3</v>
      </c>
      <c r="J18" s="8" t="n">
        <f aca="false">IF(G18=0,0,I18/G18)</f>
        <v>0.75975975975976</v>
      </c>
    </row>
    <row r="19" customFormat="false" ht="15" hidden="false" customHeight="false" outlineLevel="0" collapsed="false">
      <c r="A19" s="3" t="s">
        <v>231</v>
      </c>
      <c r="B19" s="3" t="s">
        <v>143</v>
      </c>
      <c r="C19" s="4" t="n">
        <v>8.99</v>
      </c>
      <c r="D19" s="4" t="n">
        <v>2.1</v>
      </c>
      <c r="E19" s="8" t="n">
        <f aca="false">D19/C19</f>
        <v>0.233592880978865</v>
      </c>
      <c r="F19" s="3" t="n">
        <v>62</v>
      </c>
      <c r="G19" s="4" t="n">
        <f aca="false">C19*F19</f>
        <v>557.38</v>
      </c>
      <c r="H19" s="4" t="n">
        <f aca="false">D19*F19</f>
        <v>130.2</v>
      </c>
      <c r="I19" s="4" t="n">
        <f aca="false">G19-H19</f>
        <v>427.18</v>
      </c>
      <c r="J19" s="8" t="n">
        <f aca="false">IF(G19=0,0,I19/G19)</f>
        <v>0.766407119021135</v>
      </c>
    </row>
    <row r="20" customFormat="false" ht="15" hidden="false" customHeight="false" outlineLevel="0" collapsed="false">
      <c r="A20" s="3" t="s">
        <v>233</v>
      </c>
      <c r="B20" s="3" t="s">
        <v>103</v>
      </c>
      <c r="C20" s="4" t="n">
        <v>7.99</v>
      </c>
      <c r="D20" s="4" t="n">
        <v>1.6</v>
      </c>
      <c r="E20" s="8" t="n">
        <f aca="false">D20/C20</f>
        <v>0.200250312891114</v>
      </c>
      <c r="F20" s="3" t="n">
        <v>142</v>
      </c>
      <c r="G20" s="4" t="n">
        <f aca="false">C20*F20</f>
        <v>1134.58</v>
      </c>
      <c r="H20" s="4" t="n">
        <f aca="false">D20*F20</f>
        <v>227.2</v>
      </c>
      <c r="I20" s="4" t="n">
        <f aca="false">G20-H20</f>
        <v>907.38</v>
      </c>
      <c r="J20" s="8" t="n">
        <f aca="false">IF(G20=0,0,I20/G20)</f>
        <v>0.799749687108886</v>
      </c>
    </row>
    <row r="21" customFormat="false" ht="15" hidden="false" customHeight="false" outlineLevel="0" collapsed="false">
      <c r="A21" s="3" t="s">
        <v>233</v>
      </c>
      <c r="B21" s="3" t="s">
        <v>80</v>
      </c>
      <c r="C21" s="4" t="n">
        <v>11.99</v>
      </c>
      <c r="D21" s="4" t="n">
        <v>2.8</v>
      </c>
      <c r="E21" s="8" t="n">
        <f aca="false">D21/C21</f>
        <v>0.233527939949958</v>
      </c>
      <c r="F21" s="3" t="n">
        <v>59</v>
      </c>
      <c r="G21" s="4" t="n">
        <f aca="false">C21*F21</f>
        <v>707.41</v>
      </c>
      <c r="H21" s="4" t="n">
        <f aca="false">D21*F21</f>
        <v>165.2</v>
      </c>
      <c r="I21" s="4" t="n">
        <f aca="false">G21-H21</f>
        <v>542.21</v>
      </c>
      <c r="J21" s="8" t="n">
        <f aca="false">IF(G21=0,0,I21/G21)</f>
        <v>0.766472060050042</v>
      </c>
    </row>
    <row r="22" customFormat="false" ht="15" hidden="false" customHeight="false" outlineLevel="0" collapsed="false">
      <c r="A22" s="3" t="s">
        <v>233</v>
      </c>
      <c r="B22" s="3" t="s">
        <v>57</v>
      </c>
      <c r="C22" s="4" t="n">
        <v>9.99</v>
      </c>
      <c r="D22" s="4" t="n">
        <v>2.2</v>
      </c>
      <c r="E22" s="8" t="n">
        <f aca="false">D22/C22</f>
        <v>0.22022022022022</v>
      </c>
      <c r="F22" s="3" t="n">
        <v>138</v>
      </c>
      <c r="G22" s="4" t="n">
        <f aca="false">C22*F22</f>
        <v>1378.62</v>
      </c>
      <c r="H22" s="4" t="n">
        <f aca="false">D22*F22</f>
        <v>303.6</v>
      </c>
      <c r="I22" s="4" t="n">
        <f aca="false">G22-H22</f>
        <v>1075.02</v>
      </c>
      <c r="J22" s="8" t="n">
        <f aca="false">IF(G22=0,0,I22/G22)</f>
        <v>0.77977977977978</v>
      </c>
    </row>
    <row r="23" customFormat="false" ht="15" hidden="false" customHeight="false" outlineLevel="0" collapsed="false">
      <c r="A23" s="3" t="s">
        <v>233</v>
      </c>
      <c r="B23" s="3" t="s">
        <v>170</v>
      </c>
      <c r="C23" s="4" t="n">
        <v>3.49</v>
      </c>
      <c r="D23" s="4" t="n">
        <v>0.45</v>
      </c>
      <c r="E23" s="8" t="n">
        <f aca="false">D23/C23</f>
        <v>0.128939828080229</v>
      </c>
      <c r="F23" s="3" t="n">
        <v>152</v>
      </c>
      <c r="G23" s="4" t="n">
        <f aca="false">C23*F23</f>
        <v>530.48</v>
      </c>
      <c r="H23" s="4" t="n">
        <f aca="false">D23*F23</f>
        <v>68.4</v>
      </c>
      <c r="I23" s="4" t="n">
        <f aca="false">G23-H23</f>
        <v>462.08</v>
      </c>
      <c r="J23" s="8" t="n">
        <f aca="false">IF(G23=0,0,I23/G23)</f>
        <v>0.871060171919771</v>
      </c>
    </row>
    <row r="24" customFormat="false" ht="15" hidden="false" customHeight="false" outlineLevel="0" collapsed="false">
      <c r="A24" s="3" t="s">
        <v>233</v>
      </c>
      <c r="B24" s="3" t="s">
        <v>234</v>
      </c>
      <c r="C24" s="4" t="n">
        <v>3.99</v>
      </c>
      <c r="D24" s="4" t="n">
        <v>0.5</v>
      </c>
      <c r="E24" s="8" t="n">
        <f aca="false">D24/C24</f>
        <v>0.12531328320802</v>
      </c>
      <c r="F24" s="3" t="n">
        <v>145</v>
      </c>
      <c r="G24" s="4" t="n">
        <f aca="false">C24*F24</f>
        <v>578.55</v>
      </c>
      <c r="H24" s="4" t="n">
        <f aca="false">D24*F24</f>
        <v>72.5</v>
      </c>
      <c r="I24" s="4" t="n">
        <f aca="false">G24-H24</f>
        <v>506.05</v>
      </c>
      <c r="J24" s="8" t="n">
        <f aca="false">IF(G24=0,0,I24/G24)</f>
        <v>0.87468671679198</v>
      </c>
    </row>
    <row r="25" customFormat="false" ht="15" hidden="false" customHeight="false" outlineLevel="0" collapsed="false">
      <c r="A25" s="18"/>
      <c r="B25" s="18"/>
      <c r="C25" s="18"/>
      <c r="D25" s="18"/>
      <c r="E25" s="18" t="s">
        <v>20</v>
      </c>
      <c r="F25" s="18" t="n">
        <f aca="false">SUM(F2:F24)</f>
        <v>3152</v>
      </c>
      <c r="G25" s="19" t="n">
        <f aca="false">SUM(G2:G24)</f>
        <v>50136.48</v>
      </c>
      <c r="H25" s="19" t="n">
        <f aca="false">SUM(H2:H24)</f>
        <v>14878.9</v>
      </c>
      <c r="I25" s="19" t="n">
        <f aca="false">SUM(I2:I24)</f>
        <v>35257.58</v>
      </c>
      <c r="J25" s="20" t="n">
        <f aca="false">IF(G25=0,0,I25/G25)</f>
        <v>0.703232057775097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235A"/>
    <pageSetUpPr fitToPage="false"/>
  </sheetPr>
  <dimension ref="A1:M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13" min="3" style="0" width="13"/>
  </cols>
  <sheetData>
    <row r="1" customFormat="false" ht="26.85" hidden="false" customHeight="false" outlineLevel="0" collapsed="false">
      <c r="A1" s="21" t="s">
        <v>235</v>
      </c>
      <c r="B1" s="21" t="s">
        <v>236</v>
      </c>
      <c r="C1" s="21" t="s">
        <v>237</v>
      </c>
      <c r="D1" s="21" t="s">
        <v>0</v>
      </c>
      <c r="E1" s="21" t="s">
        <v>238</v>
      </c>
      <c r="F1" s="21" t="s">
        <v>239</v>
      </c>
      <c r="G1" s="21" t="s">
        <v>240</v>
      </c>
      <c r="H1" s="21" t="s">
        <v>241</v>
      </c>
      <c r="I1" s="21" t="s">
        <v>242</v>
      </c>
      <c r="J1" s="21" t="s">
        <v>243</v>
      </c>
      <c r="K1" s="21" t="s">
        <v>244</v>
      </c>
      <c r="L1" s="21" t="s">
        <v>245</v>
      </c>
      <c r="M1" s="21" t="s">
        <v>246</v>
      </c>
    </row>
    <row r="2" customFormat="false" ht="15" hidden="false" customHeight="false" outlineLevel="0" collapsed="false">
      <c r="A2" s="3" t="s">
        <v>247</v>
      </c>
      <c r="B2" s="3" t="s">
        <v>248</v>
      </c>
      <c r="C2" s="3" t="s">
        <v>32</v>
      </c>
      <c r="D2" s="2" t="n">
        <v>46082</v>
      </c>
      <c r="E2" s="3" t="s">
        <v>166</v>
      </c>
      <c r="F2" s="3" t="s">
        <v>249</v>
      </c>
      <c r="G2" s="3" t="n">
        <v>7</v>
      </c>
      <c r="H2" s="3" t="n">
        <v>6.9</v>
      </c>
      <c r="I2" s="3" t="n">
        <v>0</v>
      </c>
      <c r="J2" s="4" t="n">
        <v>14.5</v>
      </c>
      <c r="K2" s="4" t="n">
        <f aca="false">IF(H2&gt;8,8,H2)*J2</f>
        <v>100.05</v>
      </c>
      <c r="L2" s="4" t="n">
        <f aca="false">I2*J2*1.5</f>
        <v>0</v>
      </c>
      <c r="M2" s="4" t="n">
        <f aca="false">K2+L2</f>
        <v>100.05</v>
      </c>
    </row>
    <row r="3" customFormat="false" ht="15" hidden="false" customHeight="false" outlineLevel="0" collapsed="false">
      <c r="A3" s="3" t="s">
        <v>247</v>
      </c>
      <c r="B3" s="3" t="s">
        <v>248</v>
      </c>
      <c r="C3" s="3" t="s">
        <v>32</v>
      </c>
      <c r="D3" s="2" t="n">
        <v>46084</v>
      </c>
      <c r="E3" s="3" t="s">
        <v>179</v>
      </c>
      <c r="F3" s="3" t="s">
        <v>250</v>
      </c>
      <c r="G3" s="3" t="n">
        <v>8</v>
      </c>
      <c r="H3" s="3" t="n">
        <v>8.1</v>
      </c>
      <c r="I3" s="3" t="n">
        <v>0.1</v>
      </c>
      <c r="J3" s="4" t="n">
        <v>14.5</v>
      </c>
      <c r="K3" s="4" t="n">
        <f aca="false">IF(H3&gt;8,8,H3)*J3</f>
        <v>116</v>
      </c>
      <c r="L3" s="4" t="n">
        <f aca="false">I3*J3*1.5</f>
        <v>2.175</v>
      </c>
      <c r="M3" s="4" t="n">
        <f aca="false">K3+L3</f>
        <v>118.175</v>
      </c>
    </row>
    <row r="4" customFormat="false" ht="15" hidden="false" customHeight="false" outlineLevel="0" collapsed="false">
      <c r="A4" s="3" t="s">
        <v>247</v>
      </c>
      <c r="B4" s="3" t="s">
        <v>248</v>
      </c>
      <c r="C4" s="3" t="s">
        <v>32</v>
      </c>
      <c r="D4" s="2" t="n">
        <v>46085</v>
      </c>
      <c r="E4" s="3" t="s">
        <v>251</v>
      </c>
      <c r="F4" s="3" t="s">
        <v>252</v>
      </c>
      <c r="G4" s="3" t="n">
        <v>6</v>
      </c>
      <c r="H4" s="3" t="n">
        <v>6.4</v>
      </c>
      <c r="I4" s="3" t="n">
        <v>0</v>
      </c>
      <c r="J4" s="4" t="n">
        <v>14.5</v>
      </c>
      <c r="K4" s="4" t="n">
        <f aca="false">IF(H4&gt;8,8,H4)*J4</f>
        <v>92.8</v>
      </c>
      <c r="L4" s="4" t="n">
        <f aca="false">I4*J4*1.5</f>
        <v>0</v>
      </c>
      <c r="M4" s="4" t="n">
        <f aca="false">K4+L4</f>
        <v>92.8</v>
      </c>
    </row>
    <row r="5" customFormat="false" ht="15" hidden="false" customHeight="false" outlineLevel="0" collapsed="false">
      <c r="A5" s="3" t="s">
        <v>247</v>
      </c>
      <c r="B5" s="3" t="s">
        <v>248</v>
      </c>
      <c r="C5" s="3" t="s">
        <v>32</v>
      </c>
      <c r="D5" s="2" t="n">
        <v>46087</v>
      </c>
      <c r="E5" s="3" t="s">
        <v>253</v>
      </c>
      <c r="F5" s="3" t="s">
        <v>254</v>
      </c>
      <c r="G5" s="3" t="n">
        <v>7</v>
      </c>
      <c r="H5" s="3" t="n">
        <v>6.7</v>
      </c>
      <c r="I5" s="3" t="n">
        <v>0</v>
      </c>
      <c r="J5" s="4" t="n">
        <v>14.5</v>
      </c>
      <c r="K5" s="4" t="n">
        <f aca="false">IF(H5&gt;8,8,H5)*J5</f>
        <v>97.15</v>
      </c>
      <c r="L5" s="4" t="n">
        <f aca="false">I5*J5*1.5</f>
        <v>0</v>
      </c>
      <c r="M5" s="4" t="n">
        <f aca="false">K5+L5</f>
        <v>97.15</v>
      </c>
    </row>
    <row r="6" customFormat="false" ht="15" hidden="false" customHeight="false" outlineLevel="0" collapsed="false">
      <c r="A6" s="3" t="s">
        <v>247</v>
      </c>
      <c r="B6" s="3" t="s">
        <v>248</v>
      </c>
      <c r="C6" s="3" t="s">
        <v>32</v>
      </c>
      <c r="D6" s="2" t="n">
        <v>46088</v>
      </c>
      <c r="E6" s="3" t="s">
        <v>255</v>
      </c>
      <c r="F6" s="3" t="s">
        <v>256</v>
      </c>
      <c r="G6" s="3" t="n">
        <v>8</v>
      </c>
      <c r="H6" s="3" t="n">
        <v>9.4</v>
      </c>
      <c r="I6" s="3" t="n">
        <v>1.4</v>
      </c>
      <c r="J6" s="4" t="n">
        <v>14.5</v>
      </c>
      <c r="K6" s="4" t="n">
        <f aca="false">IF(H6&gt;8,8,H6)*J6</f>
        <v>116</v>
      </c>
      <c r="L6" s="4" t="n">
        <f aca="false">I6*J6*1.5</f>
        <v>30.45</v>
      </c>
      <c r="M6" s="4" t="n">
        <f aca="false">K6+L6</f>
        <v>146.45</v>
      </c>
    </row>
    <row r="7" customFormat="false" ht="15" hidden="false" customHeight="false" outlineLevel="0" collapsed="false">
      <c r="A7" s="3" t="s">
        <v>247</v>
      </c>
      <c r="B7" s="3" t="s">
        <v>248</v>
      </c>
      <c r="C7" s="3" t="s">
        <v>32</v>
      </c>
      <c r="D7" s="2" t="n">
        <v>46089</v>
      </c>
      <c r="E7" s="3" t="s">
        <v>253</v>
      </c>
      <c r="F7" s="3" t="s">
        <v>257</v>
      </c>
      <c r="G7" s="3" t="n">
        <v>6</v>
      </c>
      <c r="H7" s="3" t="n">
        <v>6.2</v>
      </c>
      <c r="I7" s="3" t="n">
        <v>0</v>
      </c>
      <c r="J7" s="4" t="n">
        <v>14.5</v>
      </c>
      <c r="K7" s="4" t="n">
        <f aca="false">IF(H7&gt;8,8,H7)*J7</f>
        <v>89.9</v>
      </c>
      <c r="L7" s="4" t="n">
        <f aca="false">I7*J7*1.5</f>
        <v>0</v>
      </c>
      <c r="M7" s="4" t="n">
        <f aca="false">K7+L7</f>
        <v>89.9</v>
      </c>
    </row>
    <row r="8" customFormat="false" ht="15" hidden="false" customHeight="false" outlineLevel="0" collapsed="false">
      <c r="A8" s="3" t="s">
        <v>247</v>
      </c>
      <c r="B8" s="3" t="s">
        <v>248</v>
      </c>
      <c r="C8" s="3" t="s">
        <v>32</v>
      </c>
      <c r="D8" s="2" t="n">
        <v>46090</v>
      </c>
      <c r="E8" s="3" t="s">
        <v>166</v>
      </c>
      <c r="F8" s="3" t="s">
        <v>258</v>
      </c>
      <c r="G8" s="3" t="n">
        <v>8</v>
      </c>
      <c r="H8" s="3" t="n">
        <v>8</v>
      </c>
      <c r="I8" s="3" t="n">
        <v>0</v>
      </c>
      <c r="J8" s="4" t="n">
        <v>14.5</v>
      </c>
      <c r="K8" s="4" t="n">
        <f aca="false">IF(H8&gt;8,8,H8)*J8</f>
        <v>116</v>
      </c>
      <c r="L8" s="4" t="n">
        <f aca="false">I8*J8*1.5</f>
        <v>0</v>
      </c>
      <c r="M8" s="4" t="n">
        <f aca="false">K8+L8</f>
        <v>116</v>
      </c>
    </row>
    <row r="9" customFormat="false" ht="15" hidden="false" customHeight="false" outlineLevel="0" collapsed="false">
      <c r="A9" s="3" t="s">
        <v>247</v>
      </c>
      <c r="B9" s="3" t="s">
        <v>248</v>
      </c>
      <c r="C9" s="3" t="s">
        <v>32</v>
      </c>
      <c r="D9" s="2" t="n">
        <v>46091</v>
      </c>
      <c r="E9" s="3" t="s">
        <v>166</v>
      </c>
      <c r="F9" s="3" t="s">
        <v>259</v>
      </c>
      <c r="G9" s="3" t="n">
        <v>7</v>
      </c>
      <c r="H9" s="3" t="n">
        <v>6.8</v>
      </c>
      <c r="I9" s="3" t="n">
        <v>0</v>
      </c>
      <c r="J9" s="4" t="n">
        <v>14.5</v>
      </c>
      <c r="K9" s="4" t="n">
        <f aca="false">IF(H9&gt;8,8,H9)*J9</f>
        <v>98.6</v>
      </c>
      <c r="L9" s="4" t="n">
        <f aca="false">I9*J9*1.5</f>
        <v>0</v>
      </c>
      <c r="M9" s="4" t="n">
        <f aca="false">K9+L9</f>
        <v>98.6</v>
      </c>
    </row>
    <row r="10" customFormat="false" ht="15" hidden="false" customHeight="false" outlineLevel="0" collapsed="false">
      <c r="A10" s="3" t="s">
        <v>247</v>
      </c>
      <c r="B10" s="3" t="s">
        <v>248</v>
      </c>
      <c r="C10" s="3" t="s">
        <v>32</v>
      </c>
      <c r="D10" s="2" t="n">
        <v>46092</v>
      </c>
      <c r="E10" s="3" t="s">
        <v>260</v>
      </c>
      <c r="F10" s="3" t="s">
        <v>261</v>
      </c>
      <c r="G10" s="3" t="n">
        <v>8</v>
      </c>
      <c r="H10" s="3" t="n">
        <v>7.7</v>
      </c>
      <c r="I10" s="3" t="n">
        <v>0</v>
      </c>
      <c r="J10" s="4" t="n">
        <v>14.5</v>
      </c>
      <c r="K10" s="4" t="n">
        <f aca="false">IF(H10&gt;8,8,H10)*J10</f>
        <v>111.65</v>
      </c>
      <c r="L10" s="4" t="n">
        <f aca="false">I10*J10*1.5</f>
        <v>0</v>
      </c>
      <c r="M10" s="4" t="n">
        <f aca="false">K10+L10</f>
        <v>111.65</v>
      </c>
    </row>
    <row r="11" customFormat="false" ht="15" hidden="false" customHeight="false" outlineLevel="0" collapsed="false">
      <c r="A11" s="3" t="s">
        <v>247</v>
      </c>
      <c r="B11" s="3" t="s">
        <v>248</v>
      </c>
      <c r="C11" s="3" t="s">
        <v>32</v>
      </c>
      <c r="D11" s="2" t="n">
        <v>46093</v>
      </c>
      <c r="E11" s="3" t="s">
        <v>54</v>
      </c>
      <c r="F11" s="3" t="s">
        <v>262</v>
      </c>
      <c r="G11" s="3" t="n">
        <v>6</v>
      </c>
      <c r="H11" s="3" t="n">
        <v>6.9</v>
      </c>
      <c r="I11" s="3" t="n">
        <v>0</v>
      </c>
      <c r="J11" s="4" t="n">
        <v>14.5</v>
      </c>
      <c r="K11" s="4" t="n">
        <f aca="false">IF(H11&gt;8,8,H11)*J11</f>
        <v>100.05</v>
      </c>
      <c r="L11" s="4" t="n">
        <f aca="false">I11*J11*1.5</f>
        <v>0</v>
      </c>
      <c r="M11" s="4" t="n">
        <f aca="false">K11+L11</f>
        <v>100.05</v>
      </c>
    </row>
    <row r="12" customFormat="false" ht="15" hidden="false" customHeight="false" outlineLevel="0" collapsed="false">
      <c r="A12" s="3" t="s">
        <v>247</v>
      </c>
      <c r="B12" s="3" t="s">
        <v>248</v>
      </c>
      <c r="C12" s="3" t="s">
        <v>32</v>
      </c>
      <c r="D12" s="2" t="n">
        <v>46096</v>
      </c>
      <c r="E12" s="3" t="s">
        <v>263</v>
      </c>
      <c r="F12" s="3" t="s">
        <v>264</v>
      </c>
      <c r="G12" s="3" t="n">
        <v>7</v>
      </c>
      <c r="H12" s="3" t="n">
        <v>8.2</v>
      </c>
      <c r="I12" s="3" t="n">
        <v>0.2</v>
      </c>
      <c r="J12" s="4" t="n">
        <v>14.5</v>
      </c>
      <c r="K12" s="4" t="n">
        <f aca="false">IF(H12&gt;8,8,H12)*J12</f>
        <v>116</v>
      </c>
      <c r="L12" s="4" t="n">
        <f aca="false">I12*J12*1.5</f>
        <v>4.35</v>
      </c>
      <c r="M12" s="4" t="n">
        <f aca="false">K12+L12</f>
        <v>120.35</v>
      </c>
    </row>
    <row r="13" customFormat="false" ht="15" hidden="false" customHeight="false" outlineLevel="0" collapsed="false">
      <c r="A13" s="3" t="s">
        <v>247</v>
      </c>
      <c r="B13" s="3" t="s">
        <v>248</v>
      </c>
      <c r="C13" s="3" t="s">
        <v>32</v>
      </c>
      <c r="D13" s="2" t="n">
        <v>46097</v>
      </c>
      <c r="E13" s="3" t="s">
        <v>265</v>
      </c>
      <c r="F13" s="3" t="s">
        <v>266</v>
      </c>
      <c r="G13" s="3" t="n">
        <v>6</v>
      </c>
      <c r="H13" s="3" t="n">
        <v>7.2</v>
      </c>
      <c r="I13" s="3" t="n">
        <v>0</v>
      </c>
      <c r="J13" s="4" t="n">
        <v>14.5</v>
      </c>
      <c r="K13" s="4" t="n">
        <f aca="false">IF(H13&gt;8,8,H13)*J13</f>
        <v>104.4</v>
      </c>
      <c r="L13" s="4" t="n">
        <f aca="false">I13*J13*1.5</f>
        <v>0</v>
      </c>
      <c r="M13" s="4" t="n">
        <f aca="false">K13+L13</f>
        <v>104.4</v>
      </c>
    </row>
    <row r="14" customFormat="false" ht="15" hidden="false" customHeight="false" outlineLevel="0" collapsed="false">
      <c r="A14" s="3" t="s">
        <v>247</v>
      </c>
      <c r="B14" s="3" t="s">
        <v>248</v>
      </c>
      <c r="C14" s="3" t="s">
        <v>32</v>
      </c>
      <c r="D14" s="2" t="n">
        <v>46098</v>
      </c>
      <c r="E14" s="3" t="s">
        <v>72</v>
      </c>
      <c r="F14" s="3" t="s">
        <v>267</v>
      </c>
      <c r="G14" s="3" t="n">
        <v>6</v>
      </c>
      <c r="H14" s="3" t="n">
        <v>7.2</v>
      </c>
      <c r="I14" s="3" t="n">
        <v>0</v>
      </c>
      <c r="J14" s="4" t="n">
        <v>14.5</v>
      </c>
      <c r="K14" s="4" t="n">
        <f aca="false">IF(H14&gt;8,8,H14)*J14</f>
        <v>104.4</v>
      </c>
      <c r="L14" s="4" t="n">
        <f aca="false">I14*J14*1.5</f>
        <v>0</v>
      </c>
      <c r="M14" s="4" t="n">
        <f aca="false">K14+L14</f>
        <v>104.4</v>
      </c>
    </row>
    <row r="15" customFormat="false" ht="15" hidden="false" customHeight="false" outlineLevel="0" collapsed="false">
      <c r="A15" s="3" t="s">
        <v>247</v>
      </c>
      <c r="B15" s="3" t="s">
        <v>248</v>
      </c>
      <c r="C15" s="3" t="s">
        <v>32</v>
      </c>
      <c r="D15" s="2" t="n">
        <v>46099</v>
      </c>
      <c r="E15" s="3" t="s">
        <v>263</v>
      </c>
      <c r="F15" s="3" t="s">
        <v>268</v>
      </c>
      <c r="G15" s="3" t="n">
        <v>7</v>
      </c>
      <c r="H15" s="3" t="n">
        <v>6.9</v>
      </c>
      <c r="I15" s="3" t="n">
        <v>0</v>
      </c>
      <c r="J15" s="4" t="n">
        <v>14.5</v>
      </c>
      <c r="K15" s="4" t="n">
        <f aca="false">IF(H15&gt;8,8,H15)*J15</f>
        <v>100.05</v>
      </c>
      <c r="L15" s="4" t="n">
        <f aca="false">I15*J15*1.5</f>
        <v>0</v>
      </c>
      <c r="M15" s="4" t="n">
        <f aca="false">K15+L15</f>
        <v>100.05</v>
      </c>
    </row>
    <row r="16" customFormat="false" ht="15" hidden="false" customHeight="false" outlineLevel="0" collapsed="false">
      <c r="A16" s="3" t="s">
        <v>247</v>
      </c>
      <c r="B16" s="3" t="s">
        <v>248</v>
      </c>
      <c r="C16" s="3" t="s">
        <v>32</v>
      </c>
      <c r="D16" s="2" t="n">
        <v>46100</v>
      </c>
      <c r="E16" s="3" t="s">
        <v>72</v>
      </c>
      <c r="F16" s="3" t="s">
        <v>250</v>
      </c>
      <c r="G16" s="3" t="n">
        <v>8</v>
      </c>
      <c r="H16" s="3" t="n">
        <v>9.1</v>
      </c>
      <c r="I16" s="3" t="n">
        <v>1.1</v>
      </c>
      <c r="J16" s="4" t="n">
        <v>14.5</v>
      </c>
      <c r="K16" s="4" t="n">
        <f aca="false">IF(H16&gt;8,8,H16)*J16</f>
        <v>116</v>
      </c>
      <c r="L16" s="4" t="n">
        <f aca="false">I16*J16*1.5</f>
        <v>23.925</v>
      </c>
      <c r="M16" s="4" t="n">
        <f aca="false">K16+L16</f>
        <v>139.925</v>
      </c>
    </row>
    <row r="17" customFormat="false" ht="15" hidden="false" customHeight="false" outlineLevel="0" collapsed="false">
      <c r="A17" s="3" t="s">
        <v>247</v>
      </c>
      <c r="B17" s="3" t="s">
        <v>248</v>
      </c>
      <c r="C17" s="3" t="s">
        <v>32</v>
      </c>
      <c r="D17" s="2" t="n">
        <v>46104</v>
      </c>
      <c r="E17" s="3" t="s">
        <v>265</v>
      </c>
      <c r="F17" s="3" t="s">
        <v>269</v>
      </c>
      <c r="G17" s="3" t="n">
        <v>8</v>
      </c>
      <c r="H17" s="3" t="n">
        <v>7.6</v>
      </c>
      <c r="I17" s="3" t="n">
        <v>0</v>
      </c>
      <c r="J17" s="4" t="n">
        <v>14.5</v>
      </c>
      <c r="K17" s="4" t="n">
        <f aca="false">IF(H17&gt;8,8,H17)*J17</f>
        <v>110.2</v>
      </c>
      <c r="L17" s="4" t="n">
        <f aca="false">I17*J17*1.5</f>
        <v>0</v>
      </c>
      <c r="M17" s="4" t="n">
        <f aca="false">K17+L17</f>
        <v>110.2</v>
      </c>
    </row>
    <row r="18" customFormat="false" ht="15" hidden="false" customHeight="false" outlineLevel="0" collapsed="false">
      <c r="A18" s="3" t="s">
        <v>247</v>
      </c>
      <c r="B18" s="3" t="s">
        <v>248</v>
      </c>
      <c r="C18" s="3" t="s">
        <v>32</v>
      </c>
      <c r="D18" s="2" t="n">
        <v>46105</v>
      </c>
      <c r="E18" s="3" t="s">
        <v>263</v>
      </c>
      <c r="F18" s="3" t="s">
        <v>270</v>
      </c>
      <c r="G18" s="3" t="n">
        <v>7</v>
      </c>
      <c r="H18" s="3" t="n">
        <v>7.4</v>
      </c>
      <c r="I18" s="3" t="n">
        <v>0</v>
      </c>
      <c r="J18" s="4" t="n">
        <v>14.5</v>
      </c>
      <c r="K18" s="4" t="n">
        <f aca="false">IF(H18&gt;8,8,H18)*J18</f>
        <v>107.3</v>
      </c>
      <c r="L18" s="4" t="n">
        <f aca="false">I18*J18*1.5</f>
        <v>0</v>
      </c>
      <c r="M18" s="4" t="n">
        <f aca="false">K18+L18</f>
        <v>107.3</v>
      </c>
    </row>
    <row r="19" customFormat="false" ht="15" hidden="false" customHeight="false" outlineLevel="0" collapsed="false">
      <c r="A19" s="3" t="s">
        <v>247</v>
      </c>
      <c r="B19" s="3" t="s">
        <v>248</v>
      </c>
      <c r="C19" s="3" t="s">
        <v>32</v>
      </c>
      <c r="D19" s="2" t="n">
        <v>46106</v>
      </c>
      <c r="E19" s="3" t="s">
        <v>271</v>
      </c>
      <c r="F19" s="3" t="s">
        <v>272</v>
      </c>
      <c r="G19" s="3" t="n">
        <v>7</v>
      </c>
      <c r="H19" s="3" t="n">
        <v>7.8</v>
      </c>
      <c r="I19" s="3" t="n">
        <v>0</v>
      </c>
      <c r="J19" s="4" t="n">
        <v>14.5</v>
      </c>
      <c r="K19" s="4" t="n">
        <f aca="false">IF(H19&gt;8,8,H19)*J19</f>
        <v>113.1</v>
      </c>
      <c r="L19" s="4" t="n">
        <f aca="false">I19*J19*1.5</f>
        <v>0</v>
      </c>
      <c r="M19" s="4" t="n">
        <f aca="false">K19+L19</f>
        <v>113.1</v>
      </c>
    </row>
    <row r="20" customFormat="false" ht="15" hidden="false" customHeight="false" outlineLevel="0" collapsed="false">
      <c r="A20" s="3" t="s">
        <v>247</v>
      </c>
      <c r="B20" s="3" t="s">
        <v>248</v>
      </c>
      <c r="C20" s="3" t="s">
        <v>32</v>
      </c>
      <c r="D20" s="2" t="n">
        <v>46108</v>
      </c>
      <c r="E20" s="3" t="s">
        <v>253</v>
      </c>
      <c r="F20" s="3" t="s">
        <v>273</v>
      </c>
      <c r="G20" s="3" t="n">
        <v>7</v>
      </c>
      <c r="H20" s="3" t="n">
        <v>8.4</v>
      </c>
      <c r="I20" s="3" t="n">
        <v>0.4</v>
      </c>
      <c r="J20" s="4" t="n">
        <v>14.5</v>
      </c>
      <c r="K20" s="4" t="n">
        <f aca="false">IF(H20&gt;8,8,H20)*J20</f>
        <v>116</v>
      </c>
      <c r="L20" s="4" t="n">
        <f aca="false">I20*J20*1.5</f>
        <v>8.7</v>
      </c>
      <c r="M20" s="4" t="n">
        <f aca="false">K20+L20</f>
        <v>124.7</v>
      </c>
    </row>
    <row r="21" customFormat="false" ht="15" hidden="false" customHeight="false" outlineLevel="0" collapsed="false">
      <c r="A21" s="3" t="s">
        <v>247</v>
      </c>
      <c r="B21" s="3" t="s">
        <v>248</v>
      </c>
      <c r="C21" s="3" t="s">
        <v>32</v>
      </c>
      <c r="D21" s="2" t="n">
        <v>46110</v>
      </c>
      <c r="E21" s="3" t="s">
        <v>271</v>
      </c>
      <c r="F21" s="3" t="s">
        <v>270</v>
      </c>
      <c r="G21" s="3" t="n">
        <v>7</v>
      </c>
      <c r="H21" s="3" t="n">
        <v>7.4</v>
      </c>
      <c r="I21" s="3" t="n">
        <v>0</v>
      </c>
      <c r="J21" s="4" t="n">
        <v>14.5</v>
      </c>
      <c r="K21" s="4" t="n">
        <f aca="false">IF(H21&gt;8,8,H21)*J21</f>
        <v>107.3</v>
      </c>
      <c r="L21" s="4" t="n">
        <f aca="false">I21*J21*1.5</f>
        <v>0</v>
      </c>
      <c r="M21" s="4" t="n">
        <f aca="false">K21+L21</f>
        <v>107.3</v>
      </c>
    </row>
    <row r="22" customFormat="false" ht="15" hidden="false" customHeight="false" outlineLevel="0" collapsed="false">
      <c r="A22" s="3" t="s">
        <v>247</v>
      </c>
      <c r="B22" s="3" t="s">
        <v>248</v>
      </c>
      <c r="C22" s="3" t="s">
        <v>32</v>
      </c>
      <c r="D22" s="2" t="n">
        <v>46111</v>
      </c>
      <c r="E22" s="3" t="s">
        <v>271</v>
      </c>
      <c r="F22" s="3" t="s">
        <v>274</v>
      </c>
      <c r="G22" s="3" t="n">
        <v>8</v>
      </c>
      <c r="H22" s="3" t="n">
        <v>7.9</v>
      </c>
      <c r="I22" s="3" t="n">
        <v>0</v>
      </c>
      <c r="J22" s="4" t="n">
        <v>14.5</v>
      </c>
      <c r="K22" s="4" t="n">
        <f aca="false">IF(H22&gt;8,8,H22)*J22</f>
        <v>114.55</v>
      </c>
      <c r="L22" s="4" t="n">
        <f aca="false">I22*J22*1.5</f>
        <v>0</v>
      </c>
      <c r="M22" s="4" t="n">
        <f aca="false">K22+L22</f>
        <v>114.55</v>
      </c>
    </row>
    <row r="23" customFormat="false" ht="15" hidden="false" customHeight="false" outlineLevel="0" collapsed="false">
      <c r="A23" s="3" t="s">
        <v>275</v>
      </c>
      <c r="B23" s="3" t="s">
        <v>276</v>
      </c>
      <c r="C23" s="3" t="s">
        <v>32</v>
      </c>
      <c r="D23" s="2" t="n">
        <v>46082</v>
      </c>
      <c r="E23" s="3" t="s">
        <v>72</v>
      </c>
      <c r="F23" s="3" t="s">
        <v>262</v>
      </c>
      <c r="G23" s="3" t="n">
        <v>8</v>
      </c>
      <c r="H23" s="3" t="n">
        <v>7.9</v>
      </c>
      <c r="I23" s="3" t="n">
        <v>0</v>
      </c>
      <c r="J23" s="4" t="n">
        <v>14.5</v>
      </c>
      <c r="K23" s="4" t="n">
        <f aca="false">IF(H23&gt;8,8,H23)*J23</f>
        <v>114.55</v>
      </c>
      <c r="L23" s="4" t="n">
        <f aca="false">I23*J23*1.5</f>
        <v>0</v>
      </c>
      <c r="M23" s="4" t="n">
        <f aca="false">K23+L23</f>
        <v>114.55</v>
      </c>
    </row>
    <row r="24" customFormat="false" ht="15" hidden="false" customHeight="false" outlineLevel="0" collapsed="false">
      <c r="A24" s="3" t="s">
        <v>275</v>
      </c>
      <c r="B24" s="3" t="s">
        <v>276</v>
      </c>
      <c r="C24" s="3" t="s">
        <v>32</v>
      </c>
      <c r="D24" s="2" t="n">
        <v>46085</v>
      </c>
      <c r="E24" s="3" t="s">
        <v>271</v>
      </c>
      <c r="F24" s="3" t="s">
        <v>251</v>
      </c>
      <c r="G24" s="3" t="n">
        <v>6</v>
      </c>
      <c r="H24" s="3" t="n">
        <v>7.5</v>
      </c>
      <c r="I24" s="3" t="n">
        <v>0</v>
      </c>
      <c r="J24" s="4" t="n">
        <v>14.5</v>
      </c>
      <c r="K24" s="4" t="n">
        <f aca="false">IF(H24&gt;8,8,H24)*J24</f>
        <v>108.75</v>
      </c>
      <c r="L24" s="4" t="n">
        <f aca="false">I24*J24*1.5</f>
        <v>0</v>
      </c>
      <c r="M24" s="4" t="n">
        <f aca="false">K24+L24</f>
        <v>108.75</v>
      </c>
    </row>
    <row r="25" customFormat="false" ht="15" hidden="false" customHeight="false" outlineLevel="0" collapsed="false">
      <c r="A25" s="3" t="s">
        <v>275</v>
      </c>
      <c r="B25" s="3" t="s">
        <v>276</v>
      </c>
      <c r="C25" s="3" t="s">
        <v>32</v>
      </c>
      <c r="D25" s="2" t="n">
        <v>46086</v>
      </c>
      <c r="E25" s="3" t="s">
        <v>72</v>
      </c>
      <c r="F25" s="3" t="s">
        <v>277</v>
      </c>
      <c r="G25" s="3" t="n">
        <v>6</v>
      </c>
      <c r="H25" s="3" t="n">
        <v>5.6</v>
      </c>
      <c r="I25" s="3" t="n">
        <v>0</v>
      </c>
      <c r="J25" s="4" t="n">
        <v>14.5</v>
      </c>
      <c r="K25" s="4" t="n">
        <f aca="false">IF(H25&gt;8,8,H25)*J25</f>
        <v>81.2</v>
      </c>
      <c r="L25" s="4" t="n">
        <f aca="false">I25*J25*1.5</f>
        <v>0</v>
      </c>
      <c r="M25" s="4" t="n">
        <f aca="false">K25+L25</f>
        <v>81.2</v>
      </c>
    </row>
    <row r="26" customFormat="false" ht="15" hidden="false" customHeight="false" outlineLevel="0" collapsed="false">
      <c r="A26" s="3" t="s">
        <v>275</v>
      </c>
      <c r="B26" s="3" t="s">
        <v>276</v>
      </c>
      <c r="C26" s="3" t="s">
        <v>32</v>
      </c>
      <c r="D26" s="2" t="n">
        <v>46088</v>
      </c>
      <c r="E26" s="3" t="s">
        <v>265</v>
      </c>
      <c r="F26" s="3" t="s">
        <v>278</v>
      </c>
      <c r="G26" s="3" t="n">
        <v>6</v>
      </c>
      <c r="H26" s="3" t="n">
        <v>5.7</v>
      </c>
      <c r="I26" s="3" t="n">
        <v>0</v>
      </c>
      <c r="J26" s="4" t="n">
        <v>14.5</v>
      </c>
      <c r="K26" s="4" t="n">
        <f aca="false">IF(H26&gt;8,8,H26)*J26</f>
        <v>82.65</v>
      </c>
      <c r="L26" s="4" t="n">
        <f aca="false">I26*J26*1.5</f>
        <v>0</v>
      </c>
      <c r="M26" s="4" t="n">
        <f aca="false">K26+L26</f>
        <v>82.65</v>
      </c>
    </row>
    <row r="27" customFormat="false" ht="15" hidden="false" customHeight="false" outlineLevel="0" collapsed="false">
      <c r="A27" s="3" t="s">
        <v>275</v>
      </c>
      <c r="B27" s="3" t="s">
        <v>276</v>
      </c>
      <c r="C27" s="3" t="s">
        <v>32</v>
      </c>
      <c r="D27" s="2" t="n">
        <v>46089</v>
      </c>
      <c r="E27" s="3" t="s">
        <v>271</v>
      </c>
      <c r="F27" s="3" t="s">
        <v>66</v>
      </c>
      <c r="G27" s="3" t="n">
        <v>6</v>
      </c>
      <c r="H27" s="3" t="n">
        <v>5.5</v>
      </c>
      <c r="I27" s="3" t="n">
        <v>0</v>
      </c>
      <c r="J27" s="4" t="n">
        <v>14.5</v>
      </c>
      <c r="K27" s="4" t="n">
        <f aca="false">IF(H27&gt;8,8,H27)*J27</f>
        <v>79.75</v>
      </c>
      <c r="L27" s="4" t="n">
        <f aca="false">I27*J27*1.5</f>
        <v>0</v>
      </c>
      <c r="M27" s="4" t="n">
        <f aca="false">K27+L27</f>
        <v>79.75</v>
      </c>
    </row>
    <row r="28" customFormat="false" ht="15" hidden="false" customHeight="false" outlineLevel="0" collapsed="false">
      <c r="A28" s="3" t="s">
        <v>275</v>
      </c>
      <c r="B28" s="3" t="s">
        <v>276</v>
      </c>
      <c r="C28" s="3" t="s">
        <v>32</v>
      </c>
      <c r="D28" s="2" t="n">
        <v>46090</v>
      </c>
      <c r="E28" s="3" t="s">
        <v>166</v>
      </c>
      <c r="F28" s="3" t="s">
        <v>259</v>
      </c>
      <c r="G28" s="3" t="n">
        <v>7</v>
      </c>
      <c r="H28" s="3" t="n">
        <v>6.8</v>
      </c>
      <c r="I28" s="3" t="n">
        <v>0</v>
      </c>
      <c r="J28" s="4" t="n">
        <v>14.5</v>
      </c>
      <c r="K28" s="4" t="n">
        <f aca="false">IF(H28&gt;8,8,H28)*J28</f>
        <v>98.6</v>
      </c>
      <c r="L28" s="4" t="n">
        <f aca="false">I28*J28*1.5</f>
        <v>0</v>
      </c>
      <c r="M28" s="4" t="n">
        <f aca="false">K28+L28</f>
        <v>98.6</v>
      </c>
    </row>
    <row r="29" customFormat="false" ht="15" hidden="false" customHeight="false" outlineLevel="0" collapsed="false">
      <c r="A29" s="3" t="s">
        <v>275</v>
      </c>
      <c r="B29" s="3" t="s">
        <v>276</v>
      </c>
      <c r="C29" s="3" t="s">
        <v>32</v>
      </c>
      <c r="D29" s="2" t="n">
        <v>46092</v>
      </c>
      <c r="E29" s="3" t="s">
        <v>54</v>
      </c>
      <c r="F29" s="3" t="s">
        <v>262</v>
      </c>
      <c r="G29" s="3" t="n">
        <v>7</v>
      </c>
      <c r="H29" s="3" t="n">
        <v>6.9</v>
      </c>
      <c r="I29" s="3" t="n">
        <v>0</v>
      </c>
      <c r="J29" s="4" t="n">
        <v>14.5</v>
      </c>
      <c r="K29" s="4" t="n">
        <f aca="false">IF(H29&gt;8,8,H29)*J29</f>
        <v>100.05</v>
      </c>
      <c r="L29" s="4" t="n">
        <f aca="false">I29*J29*1.5</f>
        <v>0</v>
      </c>
      <c r="M29" s="4" t="n">
        <f aca="false">K29+L29</f>
        <v>100.05</v>
      </c>
    </row>
    <row r="30" customFormat="false" ht="15" hidden="false" customHeight="false" outlineLevel="0" collapsed="false">
      <c r="A30" s="3" t="s">
        <v>275</v>
      </c>
      <c r="B30" s="3" t="s">
        <v>276</v>
      </c>
      <c r="C30" s="3" t="s">
        <v>32</v>
      </c>
      <c r="D30" s="2" t="n">
        <v>46093</v>
      </c>
      <c r="E30" s="3" t="s">
        <v>279</v>
      </c>
      <c r="F30" s="3" t="s">
        <v>280</v>
      </c>
      <c r="G30" s="3" t="n">
        <v>7</v>
      </c>
      <c r="H30" s="3" t="n">
        <v>8.3</v>
      </c>
      <c r="I30" s="3" t="n">
        <v>0.3</v>
      </c>
      <c r="J30" s="4" t="n">
        <v>14.5</v>
      </c>
      <c r="K30" s="4" t="n">
        <f aca="false">IF(H30&gt;8,8,H30)*J30</f>
        <v>116</v>
      </c>
      <c r="L30" s="4" t="n">
        <f aca="false">I30*J30*1.5</f>
        <v>6.525</v>
      </c>
      <c r="M30" s="4" t="n">
        <f aca="false">K30+L30</f>
        <v>122.525</v>
      </c>
    </row>
    <row r="31" customFormat="false" ht="15" hidden="false" customHeight="false" outlineLevel="0" collapsed="false">
      <c r="A31" s="3" t="s">
        <v>275</v>
      </c>
      <c r="B31" s="3" t="s">
        <v>276</v>
      </c>
      <c r="C31" s="3" t="s">
        <v>32</v>
      </c>
      <c r="D31" s="2" t="n">
        <v>46094</v>
      </c>
      <c r="E31" s="3" t="s">
        <v>253</v>
      </c>
      <c r="F31" s="3" t="s">
        <v>281</v>
      </c>
      <c r="G31" s="3" t="n">
        <v>8</v>
      </c>
      <c r="H31" s="3" t="n">
        <v>8.1</v>
      </c>
      <c r="I31" s="3" t="n">
        <v>0.1</v>
      </c>
      <c r="J31" s="4" t="n">
        <v>14.5</v>
      </c>
      <c r="K31" s="4" t="n">
        <f aca="false">IF(H31&gt;8,8,H31)*J31</f>
        <v>116</v>
      </c>
      <c r="L31" s="4" t="n">
        <f aca="false">I31*J31*1.5</f>
        <v>2.175</v>
      </c>
      <c r="M31" s="4" t="n">
        <f aca="false">K31+L31</f>
        <v>118.175</v>
      </c>
    </row>
    <row r="32" customFormat="false" ht="15" hidden="false" customHeight="false" outlineLevel="0" collapsed="false">
      <c r="A32" s="3" t="s">
        <v>275</v>
      </c>
      <c r="B32" s="3" t="s">
        <v>276</v>
      </c>
      <c r="C32" s="3" t="s">
        <v>32</v>
      </c>
      <c r="D32" s="2" t="n">
        <v>46095</v>
      </c>
      <c r="E32" s="3" t="s">
        <v>253</v>
      </c>
      <c r="F32" s="3" t="s">
        <v>262</v>
      </c>
      <c r="G32" s="3" t="n">
        <v>8</v>
      </c>
      <c r="H32" s="3" t="n">
        <v>7.9</v>
      </c>
      <c r="I32" s="3" t="n">
        <v>0</v>
      </c>
      <c r="J32" s="4" t="n">
        <v>14.5</v>
      </c>
      <c r="K32" s="4" t="n">
        <f aca="false">IF(H32&gt;8,8,H32)*J32</f>
        <v>114.55</v>
      </c>
      <c r="L32" s="4" t="n">
        <f aca="false">I32*J32*1.5</f>
        <v>0</v>
      </c>
      <c r="M32" s="4" t="n">
        <f aca="false">K32+L32</f>
        <v>114.55</v>
      </c>
    </row>
    <row r="33" customFormat="false" ht="15" hidden="false" customHeight="false" outlineLevel="0" collapsed="false">
      <c r="A33" s="3" t="s">
        <v>275</v>
      </c>
      <c r="B33" s="3" t="s">
        <v>276</v>
      </c>
      <c r="C33" s="3" t="s">
        <v>32</v>
      </c>
      <c r="D33" s="2" t="n">
        <v>46096</v>
      </c>
      <c r="E33" s="3" t="s">
        <v>265</v>
      </c>
      <c r="F33" s="3" t="s">
        <v>282</v>
      </c>
      <c r="G33" s="3" t="n">
        <v>8</v>
      </c>
      <c r="H33" s="3" t="n">
        <v>8.6</v>
      </c>
      <c r="I33" s="3" t="n">
        <v>0.6</v>
      </c>
      <c r="J33" s="4" t="n">
        <v>14.5</v>
      </c>
      <c r="K33" s="4" t="n">
        <f aca="false">IF(H33&gt;8,8,H33)*J33</f>
        <v>116</v>
      </c>
      <c r="L33" s="4" t="n">
        <f aca="false">I33*J33*1.5</f>
        <v>13.05</v>
      </c>
      <c r="M33" s="4" t="n">
        <f aca="false">K33+L33</f>
        <v>129.05</v>
      </c>
    </row>
    <row r="34" customFormat="false" ht="15" hidden="false" customHeight="false" outlineLevel="0" collapsed="false">
      <c r="A34" s="3" t="s">
        <v>275</v>
      </c>
      <c r="B34" s="3" t="s">
        <v>276</v>
      </c>
      <c r="C34" s="3" t="s">
        <v>32</v>
      </c>
      <c r="D34" s="2" t="n">
        <v>46097</v>
      </c>
      <c r="E34" s="3" t="s">
        <v>279</v>
      </c>
      <c r="F34" s="3" t="s">
        <v>54</v>
      </c>
      <c r="G34" s="3" t="n">
        <v>6</v>
      </c>
      <c r="H34" s="3" t="n">
        <v>6</v>
      </c>
      <c r="I34" s="3" t="n">
        <v>0</v>
      </c>
      <c r="J34" s="4" t="n">
        <v>14.5</v>
      </c>
      <c r="K34" s="4" t="n">
        <f aca="false">IF(H34&gt;8,8,H34)*J34</f>
        <v>87</v>
      </c>
      <c r="L34" s="4" t="n">
        <f aca="false">I34*J34*1.5</f>
        <v>0</v>
      </c>
      <c r="M34" s="4" t="n">
        <f aca="false">K34+L34</f>
        <v>87</v>
      </c>
    </row>
    <row r="35" customFormat="false" ht="15" hidden="false" customHeight="false" outlineLevel="0" collapsed="false">
      <c r="A35" s="3" t="s">
        <v>275</v>
      </c>
      <c r="B35" s="3" t="s">
        <v>276</v>
      </c>
      <c r="C35" s="3" t="s">
        <v>32</v>
      </c>
      <c r="D35" s="2" t="n">
        <v>46098</v>
      </c>
      <c r="E35" s="3" t="s">
        <v>54</v>
      </c>
      <c r="F35" s="3" t="s">
        <v>283</v>
      </c>
      <c r="G35" s="3" t="n">
        <v>6</v>
      </c>
      <c r="H35" s="3" t="n">
        <v>5.6</v>
      </c>
      <c r="I35" s="3" t="n">
        <v>0</v>
      </c>
      <c r="J35" s="4" t="n">
        <v>14.5</v>
      </c>
      <c r="K35" s="4" t="n">
        <f aca="false">IF(H35&gt;8,8,H35)*J35</f>
        <v>81.2</v>
      </c>
      <c r="L35" s="4" t="n">
        <f aca="false">I35*J35*1.5</f>
        <v>0</v>
      </c>
      <c r="M35" s="4" t="n">
        <f aca="false">K35+L35</f>
        <v>81.2</v>
      </c>
    </row>
    <row r="36" customFormat="false" ht="15" hidden="false" customHeight="false" outlineLevel="0" collapsed="false">
      <c r="A36" s="3" t="s">
        <v>275</v>
      </c>
      <c r="B36" s="3" t="s">
        <v>276</v>
      </c>
      <c r="C36" s="3" t="s">
        <v>32</v>
      </c>
      <c r="D36" s="2" t="n">
        <v>46099</v>
      </c>
      <c r="E36" s="3" t="s">
        <v>54</v>
      </c>
      <c r="F36" s="3" t="s">
        <v>249</v>
      </c>
      <c r="G36" s="3" t="n">
        <v>6</v>
      </c>
      <c r="H36" s="3" t="n">
        <v>5.9</v>
      </c>
      <c r="I36" s="3" t="n">
        <v>0</v>
      </c>
      <c r="J36" s="4" t="n">
        <v>14.5</v>
      </c>
      <c r="K36" s="4" t="n">
        <f aca="false">IF(H36&gt;8,8,H36)*J36</f>
        <v>85.55</v>
      </c>
      <c r="L36" s="4" t="n">
        <f aca="false">I36*J36*1.5</f>
        <v>0</v>
      </c>
      <c r="M36" s="4" t="n">
        <f aca="false">K36+L36</f>
        <v>85.55</v>
      </c>
    </row>
    <row r="37" customFormat="false" ht="15" hidden="false" customHeight="false" outlineLevel="0" collapsed="false">
      <c r="A37" s="3" t="s">
        <v>275</v>
      </c>
      <c r="B37" s="3" t="s">
        <v>276</v>
      </c>
      <c r="C37" s="3" t="s">
        <v>32</v>
      </c>
      <c r="D37" s="2" t="n">
        <v>46100</v>
      </c>
      <c r="E37" s="3" t="s">
        <v>279</v>
      </c>
      <c r="F37" s="3" t="s">
        <v>284</v>
      </c>
      <c r="G37" s="3" t="n">
        <v>6</v>
      </c>
      <c r="H37" s="3" t="n">
        <v>6.7</v>
      </c>
      <c r="I37" s="3" t="n">
        <v>0</v>
      </c>
      <c r="J37" s="4" t="n">
        <v>14.5</v>
      </c>
      <c r="K37" s="4" t="n">
        <f aca="false">IF(H37&gt;8,8,H37)*J37</f>
        <v>97.15</v>
      </c>
      <c r="L37" s="4" t="n">
        <f aca="false">I37*J37*1.5</f>
        <v>0</v>
      </c>
      <c r="M37" s="4" t="n">
        <f aca="false">K37+L37</f>
        <v>97.15</v>
      </c>
    </row>
    <row r="38" customFormat="false" ht="15" hidden="false" customHeight="false" outlineLevel="0" collapsed="false">
      <c r="A38" s="3" t="s">
        <v>275</v>
      </c>
      <c r="B38" s="3" t="s">
        <v>276</v>
      </c>
      <c r="C38" s="3" t="s">
        <v>32</v>
      </c>
      <c r="D38" s="2" t="n">
        <v>46101</v>
      </c>
      <c r="E38" s="3" t="s">
        <v>253</v>
      </c>
      <c r="F38" s="3" t="s">
        <v>285</v>
      </c>
      <c r="G38" s="3" t="n">
        <v>6</v>
      </c>
      <c r="H38" s="3" t="n">
        <v>5.9</v>
      </c>
      <c r="I38" s="3" t="n">
        <v>0</v>
      </c>
      <c r="J38" s="4" t="n">
        <v>14.5</v>
      </c>
      <c r="K38" s="4" t="n">
        <f aca="false">IF(H38&gt;8,8,H38)*J38</f>
        <v>85.55</v>
      </c>
      <c r="L38" s="4" t="n">
        <f aca="false">I38*J38*1.5</f>
        <v>0</v>
      </c>
      <c r="M38" s="4" t="n">
        <f aca="false">K38+L38</f>
        <v>85.55</v>
      </c>
    </row>
    <row r="39" customFormat="false" ht="15" hidden="false" customHeight="false" outlineLevel="0" collapsed="false">
      <c r="A39" s="3" t="s">
        <v>275</v>
      </c>
      <c r="B39" s="3" t="s">
        <v>276</v>
      </c>
      <c r="C39" s="3" t="s">
        <v>32</v>
      </c>
      <c r="D39" s="2" t="n">
        <v>46102</v>
      </c>
      <c r="E39" s="3" t="s">
        <v>255</v>
      </c>
      <c r="F39" s="3" t="s">
        <v>286</v>
      </c>
      <c r="G39" s="3" t="n">
        <v>8</v>
      </c>
      <c r="H39" s="3" t="n">
        <v>8.7</v>
      </c>
      <c r="I39" s="3" t="n">
        <v>0.7</v>
      </c>
      <c r="J39" s="4" t="n">
        <v>14.5</v>
      </c>
      <c r="K39" s="4" t="n">
        <f aca="false">IF(H39&gt;8,8,H39)*J39</f>
        <v>116</v>
      </c>
      <c r="L39" s="4" t="n">
        <f aca="false">I39*J39*1.5</f>
        <v>15.225</v>
      </c>
      <c r="M39" s="4" t="n">
        <f aca="false">K39+L39</f>
        <v>131.225</v>
      </c>
    </row>
    <row r="40" customFormat="false" ht="15" hidden="false" customHeight="false" outlineLevel="0" collapsed="false">
      <c r="A40" s="3" t="s">
        <v>275</v>
      </c>
      <c r="B40" s="3" t="s">
        <v>276</v>
      </c>
      <c r="C40" s="3" t="s">
        <v>32</v>
      </c>
      <c r="D40" s="2" t="n">
        <v>46103</v>
      </c>
      <c r="E40" s="3" t="s">
        <v>166</v>
      </c>
      <c r="F40" s="3" t="s">
        <v>273</v>
      </c>
      <c r="G40" s="3" t="n">
        <v>8</v>
      </c>
      <c r="H40" s="3" t="n">
        <v>8.4</v>
      </c>
      <c r="I40" s="3" t="n">
        <v>0.4</v>
      </c>
      <c r="J40" s="4" t="n">
        <v>14.5</v>
      </c>
      <c r="K40" s="4" t="n">
        <f aca="false">IF(H40&gt;8,8,H40)*J40</f>
        <v>116</v>
      </c>
      <c r="L40" s="4" t="n">
        <f aca="false">I40*J40*1.5</f>
        <v>8.7</v>
      </c>
      <c r="M40" s="4" t="n">
        <f aca="false">K40+L40</f>
        <v>124.7</v>
      </c>
    </row>
    <row r="41" customFormat="false" ht="15" hidden="false" customHeight="false" outlineLevel="0" collapsed="false">
      <c r="A41" s="3" t="s">
        <v>275</v>
      </c>
      <c r="B41" s="3" t="s">
        <v>276</v>
      </c>
      <c r="C41" s="3" t="s">
        <v>32</v>
      </c>
      <c r="D41" s="2" t="n">
        <v>46104</v>
      </c>
      <c r="E41" s="3" t="s">
        <v>179</v>
      </c>
      <c r="F41" s="3" t="s">
        <v>287</v>
      </c>
      <c r="G41" s="3" t="n">
        <v>7</v>
      </c>
      <c r="H41" s="3" t="n">
        <v>8</v>
      </c>
      <c r="I41" s="3" t="n">
        <v>0</v>
      </c>
      <c r="J41" s="4" t="n">
        <v>14.5</v>
      </c>
      <c r="K41" s="4" t="n">
        <f aca="false">IF(H41&gt;8,8,H41)*J41</f>
        <v>116</v>
      </c>
      <c r="L41" s="4" t="n">
        <f aca="false">I41*J41*1.5</f>
        <v>0</v>
      </c>
      <c r="M41" s="4" t="n">
        <f aca="false">K41+L41</f>
        <v>116</v>
      </c>
    </row>
    <row r="42" customFormat="false" ht="15" hidden="false" customHeight="false" outlineLevel="0" collapsed="false">
      <c r="A42" s="3" t="s">
        <v>275</v>
      </c>
      <c r="B42" s="3" t="s">
        <v>276</v>
      </c>
      <c r="C42" s="3" t="s">
        <v>32</v>
      </c>
      <c r="D42" s="2" t="n">
        <v>46105</v>
      </c>
      <c r="E42" s="3" t="s">
        <v>271</v>
      </c>
      <c r="F42" s="3" t="s">
        <v>288</v>
      </c>
      <c r="G42" s="3" t="n">
        <v>6</v>
      </c>
      <c r="H42" s="3" t="n">
        <v>7.2</v>
      </c>
      <c r="I42" s="3" t="n">
        <v>0</v>
      </c>
      <c r="J42" s="4" t="n">
        <v>14.5</v>
      </c>
      <c r="K42" s="4" t="n">
        <f aca="false">IF(H42&gt;8,8,H42)*J42</f>
        <v>104.4</v>
      </c>
      <c r="L42" s="4" t="n">
        <f aca="false">I42*J42*1.5</f>
        <v>0</v>
      </c>
      <c r="M42" s="4" t="n">
        <f aca="false">K42+L42</f>
        <v>104.4</v>
      </c>
    </row>
    <row r="43" customFormat="false" ht="15" hidden="false" customHeight="false" outlineLevel="0" collapsed="false">
      <c r="A43" s="3" t="s">
        <v>275</v>
      </c>
      <c r="B43" s="3" t="s">
        <v>276</v>
      </c>
      <c r="C43" s="3" t="s">
        <v>32</v>
      </c>
      <c r="D43" s="2" t="n">
        <v>46106</v>
      </c>
      <c r="E43" s="3" t="s">
        <v>271</v>
      </c>
      <c r="F43" s="3" t="s">
        <v>289</v>
      </c>
      <c r="G43" s="3" t="n">
        <v>8</v>
      </c>
      <c r="H43" s="3" t="n">
        <v>8</v>
      </c>
      <c r="I43" s="3" t="n">
        <v>0</v>
      </c>
      <c r="J43" s="4" t="n">
        <v>14.5</v>
      </c>
      <c r="K43" s="4" t="n">
        <f aca="false">IF(H43&gt;8,8,H43)*J43</f>
        <v>116</v>
      </c>
      <c r="L43" s="4" t="n">
        <f aca="false">I43*J43*1.5</f>
        <v>0</v>
      </c>
      <c r="M43" s="4" t="n">
        <f aca="false">K43+L43</f>
        <v>116</v>
      </c>
    </row>
    <row r="44" customFormat="false" ht="15" hidden="false" customHeight="false" outlineLevel="0" collapsed="false">
      <c r="A44" s="3" t="s">
        <v>275</v>
      </c>
      <c r="B44" s="3" t="s">
        <v>276</v>
      </c>
      <c r="C44" s="3" t="s">
        <v>32</v>
      </c>
      <c r="D44" s="2" t="n">
        <v>46108</v>
      </c>
      <c r="E44" s="3" t="s">
        <v>279</v>
      </c>
      <c r="F44" s="3" t="s">
        <v>290</v>
      </c>
      <c r="G44" s="3" t="n">
        <v>8</v>
      </c>
      <c r="H44" s="3" t="n">
        <v>8.1</v>
      </c>
      <c r="I44" s="3" t="n">
        <v>0.1</v>
      </c>
      <c r="J44" s="4" t="n">
        <v>14.5</v>
      </c>
      <c r="K44" s="4" t="n">
        <f aca="false">IF(H44&gt;8,8,H44)*J44</f>
        <v>116</v>
      </c>
      <c r="L44" s="4" t="n">
        <f aca="false">I44*J44*1.5</f>
        <v>2.175</v>
      </c>
      <c r="M44" s="4" t="n">
        <f aca="false">K44+L44</f>
        <v>118.175</v>
      </c>
    </row>
    <row r="45" customFormat="false" ht="15" hidden="false" customHeight="false" outlineLevel="0" collapsed="false">
      <c r="A45" s="3" t="s">
        <v>275</v>
      </c>
      <c r="B45" s="3" t="s">
        <v>276</v>
      </c>
      <c r="C45" s="3" t="s">
        <v>32</v>
      </c>
      <c r="D45" s="2" t="n">
        <v>46110</v>
      </c>
      <c r="E45" s="3" t="s">
        <v>263</v>
      </c>
      <c r="F45" s="3" t="s">
        <v>268</v>
      </c>
      <c r="G45" s="3" t="n">
        <v>7</v>
      </c>
      <c r="H45" s="3" t="n">
        <v>6.9</v>
      </c>
      <c r="I45" s="3" t="n">
        <v>0</v>
      </c>
      <c r="J45" s="4" t="n">
        <v>14.5</v>
      </c>
      <c r="K45" s="4" t="n">
        <f aca="false">IF(H45&gt;8,8,H45)*J45</f>
        <v>100.05</v>
      </c>
      <c r="L45" s="4" t="n">
        <f aca="false">I45*J45*1.5</f>
        <v>0</v>
      </c>
      <c r="M45" s="4" t="n">
        <f aca="false">K45+L45</f>
        <v>100.05</v>
      </c>
    </row>
    <row r="46" customFormat="false" ht="15" hidden="false" customHeight="false" outlineLevel="0" collapsed="false">
      <c r="A46" s="3" t="s">
        <v>275</v>
      </c>
      <c r="B46" s="3" t="s">
        <v>276</v>
      </c>
      <c r="C46" s="3" t="s">
        <v>32</v>
      </c>
      <c r="D46" s="2" t="n">
        <v>46111</v>
      </c>
      <c r="E46" s="3" t="s">
        <v>253</v>
      </c>
      <c r="F46" s="3" t="s">
        <v>254</v>
      </c>
      <c r="G46" s="3" t="n">
        <v>6</v>
      </c>
      <c r="H46" s="3" t="n">
        <v>6.7</v>
      </c>
      <c r="I46" s="3" t="n">
        <v>0</v>
      </c>
      <c r="J46" s="4" t="n">
        <v>14.5</v>
      </c>
      <c r="K46" s="4" t="n">
        <f aca="false">IF(H46&gt;8,8,H46)*J46</f>
        <v>97.15</v>
      </c>
      <c r="L46" s="4" t="n">
        <f aca="false">I46*J46*1.5</f>
        <v>0</v>
      </c>
      <c r="M46" s="4" t="n">
        <f aca="false">K46+L46</f>
        <v>97.15</v>
      </c>
    </row>
    <row r="47" customFormat="false" ht="15" hidden="false" customHeight="false" outlineLevel="0" collapsed="false">
      <c r="A47" s="3" t="s">
        <v>275</v>
      </c>
      <c r="B47" s="3" t="s">
        <v>276</v>
      </c>
      <c r="C47" s="3" t="s">
        <v>32</v>
      </c>
      <c r="D47" s="2" t="n">
        <v>46112</v>
      </c>
      <c r="E47" s="3" t="s">
        <v>166</v>
      </c>
      <c r="F47" s="3" t="s">
        <v>252</v>
      </c>
      <c r="G47" s="3" t="n">
        <v>6</v>
      </c>
      <c r="H47" s="3" t="n">
        <v>7.4</v>
      </c>
      <c r="I47" s="3" t="n">
        <v>0</v>
      </c>
      <c r="J47" s="4" t="n">
        <v>14.5</v>
      </c>
      <c r="K47" s="4" t="n">
        <f aca="false">IF(H47&gt;8,8,H47)*J47</f>
        <v>107.3</v>
      </c>
      <c r="L47" s="4" t="n">
        <f aca="false">I47*J47*1.5</f>
        <v>0</v>
      </c>
      <c r="M47" s="4" t="n">
        <f aca="false">K47+L47</f>
        <v>107.3</v>
      </c>
    </row>
    <row r="48" customFormat="false" ht="15" hidden="false" customHeight="false" outlineLevel="0" collapsed="false">
      <c r="A48" s="3" t="s">
        <v>291</v>
      </c>
      <c r="B48" s="3" t="s">
        <v>292</v>
      </c>
      <c r="C48" s="3" t="s">
        <v>32</v>
      </c>
      <c r="D48" s="2" t="n">
        <v>46084</v>
      </c>
      <c r="E48" s="3" t="s">
        <v>72</v>
      </c>
      <c r="F48" s="3" t="s">
        <v>285</v>
      </c>
      <c r="G48" s="3" t="n">
        <v>6</v>
      </c>
      <c r="H48" s="3" t="n">
        <v>5.9</v>
      </c>
      <c r="I48" s="3" t="n">
        <v>0</v>
      </c>
      <c r="J48" s="4" t="n">
        <v>14.5</v>
      </c>
      <c r="K48" s="4" t="n">
        <f aca="false">IF(H48&gt;8,8,H48)*J48</f>
        <v>85.55</v>
      </c>
      <c r="L48" s="4" t="n">
        <f aca="false">I48*J48*1.5</f>
        <v>0</v>
      </c>
      <c r="M48" s="4" t="n">
        <f aca="false">K48+L48</f>
        <v>85.55</v>
      </c>
    </row>
    <row r="49" customFormat="false" ht="15" hidden="false" customHeight="false" outlineLevel="0" collapsed="false">
      <c r="A49" s="3" t="s">
        <v>291</v>
      </c>
      <c r="B49" s="3" t="s">
        <v>292</v>
      </c>
      <c r="C49" s="3" t="s">
        <v>32</v>
      </c>
      <c r="D49" s="2" t="n">
        <v>46085</v>
      </c>
      <c r="E49" s="3" t="s">
        <v>253</v>
      </c>
      <c r="F49" s="3" t="s">
        <v>273</v>
      </c>
      <c r="G49" s="3" t="n">
        <v>8</v>
      </c>
      <c r="H49" s="3" t="n">
        <v>8.4</v>
      </c>
      <c r="I49" s="3" t="n">
        <v>0.4</v>
      </c>
      <c r="J49" s="4" t="n">
        <v>14.5</v>
      </c>
      <c r="K49" s="4" t="n">
        <f aca="false">IF(H49&gt;8,8,H49)*J49</f>
        <v>116</v>
      </c>
      <c r="L49" s="4" t="n">
        <f aca="false">I49*J49*1.5</f>
        <v>8.7</v>
      </c>
      <c r="M49" s="4" t="n">
        <f aca="false">K49+L49</f>
        <v>124.7</v>
      </c>
    </row>
    <row r="50" customFormat="false" ht="15" hidden="false" customHeight="false" outlineLevel="0" collapsed="false">
      <c r="A50" s="3" t="s">
        <v>291</v>
      </c>
      <c r="B50" s="3" t="s">
        <v>292</v>
      </c>
      <c r="C50" s="3" t="s">
        <v>32</v>
      </c>
      <c r="D50" s="2" t="n">
        <v>46086</v>
      </c>
      <c r="E50" s="3" t="s">
        <v>263</v>
      </c>
      <c r="F50" s="3" t="s">
        <v>54</v>
      </c>
      <c r="G50" s="3" t="n">
        <v>6</v>
      </c>
      <c r="H50" s="3" t="n">
        <v>7</v>
      </c>
      <c r="I50" s="3" t="n">
        <v>0</v>
      </c>
      <c r="J50" s="4" t="n">
        <v>14.5</v>
      </c>
      <c r="K50" s="4" t="n">
        <f aca="false">IF(H50&gt;8,8,H50)*J50</f>
        <v>101.5</v>
      </c>
      <c r="L50" s="4" t="n">
        <f aca="false">I50*J50*1.5</f>
        <v>0</v>
      </c>
      <c r="M50" s="4" t="n">
        <f aca="false">K50+L50</f>
        <v>101.5</v>
      </c>
    </row>
    <row r="51" customFormat="false" ht="15" hidden="false" customHeight="false" outlineLevel="0" collapsed="false">
      <c r="A51" s="3" t="s">
        <v>291</v>
      </c>
      <c r="B51" s="3" t="s">
        <v>292</v>
      </c>
      <c r="C51" s="3" t="s">
        <v>32</v>
      </c>
      <c r="D51" s="2" t="n">
        <v>46087</v>
      </c>
      <c r="E51" s="3" t="s">
        <v>54</v>
      </c>
      <c r="F51" s="3" t="s">
        <v>293</v>
      </c>
      <c r="G51" s="3" t="n">
        <v>8</v>
      </c>
      <c r="H51" s="3" t="n">
        <v>8.6</v>
      </c>
      <c r="I51" s="3" t="n">
        <v>0.6</v>
      </c>
      <c r="J51" s="4" t="n">
        <v>14.5</v>
      </c>
      <c r="K51" s="4" t="n">
        <f aca="false">IF(H51&gt;8,8,H51)*J51</f>
        <v>116</v>
      </c>
      <c r="L51" s="4" t="n">
        <f aca="false">I51*J51*1.5</f>
        <v>13.05</v>
      </c>
      <c r="M51" s="4" t="n">
        <f aca="false">K51+L51</f>
        <v>129.05</v>
      </c>
    </row>
    <row r="52" customFormat="false" ht="15" hidden="false" customHeight="false" outlineLevel="0" collapsed="false">
      <c r="A52" s="3" t="s">
        <v>291</v>
      </c>
      <c r="B52" s="3" t="s">
        <v>292</v>
      </c>
      <c r="C52" s="3" t="s">
        <v>32</v>
      </c>
      <c r="D52" s="2" t="n">
        <v>46088</v>
      </c>
      <c r="E52" s="3" t="s">
        <v>271</v>
      </c>
      <c r="F52" s="3" t="s">
        <v>289</v>
      </c>
      <c r="G52" s="3" t="n">
        <v>7</v>
      </c>
      <c r="H52" s="3" t="n">
        <v>8</v>
      </c>
      <c r="I52" s="3" t="n">
        <v>0</v>
      </c>
      <c r="J52" s="4" t="n">
        <v>14.5</v>
      </c>
      <c r="K52" s="4" t="n">
        <f aca="false">IF(H52&gt;8,8,H52)*J52</f>
        <v>116</v>
      </c>
      <c r="L52" s="4" t="n">
        <f aca="false">I52*J52*1.5</f>
        <v>0</v>
      </c>
      <c r="M52" s="4" t="n">
        <f aca="false">K52+L52</f>
        <v>116</v>
      </c>
    </row>
    <row r="53" customFormat="false" ht="15" hidden="false" customHeight="false" outlineLevel="0" collapsed="false">
      <c r="A53" s="3" t="s">
        <v>291</v>
      </c>
      <c r="B53" s="3" t="s">
        <v>292</v>
      </c>
      <c r="C53" s="3" t="s">
        <v>32</v>
      </c>
      <c r="D53" s="2" t="n">
        <v>46089</v>
      </c>
      <c r="E53" s="3" t="s">
        <v>260</v>
      </c>
      <c r="F53" s="3" t="s">
        <v>294</v>
      </c>
      <c r="G53" s="3" t="n">
        <v>6</v>
      </c>
      <c r="H53" s="3" t="n">
        <v>5.8</v>
      </c>
      <c r="I53" s="3" t="n">
        <v>0</v>
      </c>
      <c r="J53" s="4" t="n">
        <v>14.5</v>
      </c>
      <c r="K53" s="4" t="n">
        <f aca="false">IF(H53&gt;8,8,H53)*J53</f>
        <v>84.1</v>
      </c>
      <c r="L53" s="4" t="n">
        <f aca="false">I53*J53*1.5</f>
        <v>0</v>
      </c>
      <c r="M53" s="4" t="n">
        <f aca="false">K53+L53</f>
        <v>84.1</v>
      </c>
    </row>
    <row r="54" customFormat="false" ht="15" hidden="false" customHeight="false" outlineLevel="0" collapsed="false">
      <c r="A54" s="3" t="s">
        <v>291</v>
      </c>
      <c r="B54" s="3" t="s">
        <v>292</v>
      </c>
      <c r="C54" s="3" t="s">
        <v>32</v>
      </c>
      <c r="D54" s="2" t="n">
        <v>46090</v>
      </c>
      <c r="E54" s="3" t="s">
        <v>271</v>
      </c>
      <c r="F54" s="3" t="s">
        <v>278</v>
      </c>
      <c r="G54" s="3" t="n">
        <v>7</v>
      </c>
      <c r="H54" s="3" t="n">
        <v>6.7</v>
      </c>
      <c r="I54" s="3" t="n">
        <v>0</v>
      </c>
      <c r="J54" s="4" t="n">
        <v>14.5</v>
      </c>
      <c r="K54" s="4" t="n">
        <f aca="false">IF(H54&gt;8,8,H54)*J54</f>
        <v>97.15</v>
      </c>
      <c r="L54" s="4" t="n">
        <f aca="false">I54*J54*1.5</f>
        <v>0</v>
      </c>
      <c r="M54" s="4" t="n">
        <f aca="false">K54+L54</f>
        <v>97.15</v>
      </c>
    </row>
    <row r="55" customFormat="false" ht="15" hidden="false" customHeight="false" outlineLevel="0" collapsed="false">
      <c r="A55" s="3" t="s">
        <v>291</v>
      </c>
      <c r="B55" s="3" t="s">
        <v>292</v>
      </c>
      <c r="C55" s="3" t="s">
        <v>32</v>
      </c>
      <c r="D55" s="2" t="n">
        <v>46091</v>
      </c>
      <c r="E55" s="3" t="s">
        <v>179</v>
      </c>
      <c r="F55" s="3" t="s">
        <v>295</v>
      </c>
      <c r="G55" s="3" t="n">
        <v>8</v>
      </c>
      <c r="H55" s="3" t="n">
        <v>8.5</v>
      </c>
      <c r="I55" s="3" t="n">
        <v>0.5</v>
      </c>
      <c r="J55" s="4" t="n">
        <v>14.5</v>
      </c>
      <c r="K55" s="4" t="n">
        <f aca="false">IF(H55&gt;8,8,H55)*J55</f>
        <v>116</v>
      </c>
      <c r="L55" s="4" t="n">
        <f aca="false">I55*J55*1.5</f>
        <v>10.875</v>
      </c>
      <c r="M55" s="4" t="n">
        <f aca="false">K55+L55</f>
        <v>126.875</v>
      </c>
    </row>
    <row r="56" customFormat="false" ht="15" hidden="false" customHeight="false" outlineLevel="0" collapsed="false">
      <c r="A56" s="3" t="s">
        <v>291</v>
      </c>
      <c r="B56" s="3" t="s">
        <v>292</v>
      </c>
      <c r="C56" s="3" t="s">
        <v>32</v>
      </c>
      <c r="D56" s="2" t="n">
        <v>46092</v>
      </c>
      <c r="E56" s="3" t="s">
        <v>251</v>
      </c>
      <c r="F56" s="3" t="s">
        <v>296</v>
      </c>
      <c r="G56" s="3" t="n">
        <v>6</v>
      </c>
      <c r="H56" s="3" t="n">
        <v>6.7</v>
      </c>
      <c r="I56" s="3" t="n">
        <v>0</v>
      </c>
      <c r="J56" s="4" t="n">
        <v>14.5</v>
      </c>
      <c r="K56" s="4" t="n">
        <f aca="false">IF(H56&gt;8,8,H56)*J56</f>
        <v>97.15</v>
      </c>
      <c r="L56" s="4" t="n">
        <f aca="false">I56*J56*1.5</f>
        <v>0</v>
      </c>
      <c r="M56" s="4" t="n">
        <f aca="false">K56+L56</f>
        <v>97.15</v>
      </c>
    </row>
    <row r="57" customFormat="false" ht="15" hidden="false" customHeight="false" outlineLevel="0" collapsed="false">
      <c r="A57" s="3" t="s">
        <v>291</v>
      </c>
      <c r="B57" s="3" t="s">
        <v>292</v>
      </c>
      <c r="C57" s="3" t="s">
        <v>32</v>
      </c>
      <c r="D57" s="2" t="n">
        <v>46093</v>
      </c>
      <c r="E57" s="3" t="s">
        <v>179</v>
      </c>
      <c r="F57" s="3" t="s">
        <v>267</v>
      </c>
      <c r="G57" s="3" t="n">
        <v>6</v>
      </c>
      <c r="H57" s="3" t="n">
        <v>6.2</v>
      </c>
      <c r="I57" s="3" t="n">
        <v>0</v>
      </c>
      <c r="J57" s="4" t="n">
        <v>14.5</v>
      </c>
      <c r="K57" s="4" t="n">
        <f aca="false">IF(H57&gt;8,8,H57)*J57</f>
        <v>89.9</v>
      </c>
      <c r="L57" s="4" t="n">
        <f aca="false">I57*J57*1.5</f>
        <v>0</v>
      </c>
      <c r="M57" s="4" t="n">
        <f aca="false">K57+L57</f>
        <v>89.9</v>
      </c>
    </row>
    <row r="58" customFormat="false" ht="15" hidden="false" customHeight="false" outlineLevel="0" collapsed="false">
      <c r="A58" s="3" t="s">
        <v>291</v>
      </c>
      <c r="B58" s="3" t="s">
        <v>292</v>
      </c>
      <c r="C58" s="3" t="s">
        <v>32</v>
      </c>
      <c r="D58" s="2" t="n">
        <v>46094</v>
      </c>
      <c r="E58" s="3" t="s">
        <v>271</v>
      </c>
      <c r="F58" s="3" t="s">
        <v>256</v>
      </c>
      <c r="G58" s="3" t="n">
        <v>8</v>
      </c>
      <c r="H58" s="3" t="n">
        <v>9.4</v>
      </c>
      <c r="I58" s="3" t="n">
        <v>1.4</v>
      </c>
      <c r="J58" s="4" t="n">
        <v>14.5</v>
      </c>
      <c r="K58" s="4" t="n">
        <f aca="false">IF(H58&gt;8,8,H58)*J58</f>
        <v>116</v>
      </c>
      <c r="L58" s="4" t="n">
        <f aca="false">I58*J58*1.5</f>
        <v>30.45</v>
      </c>
      <c r="M58" s="4" t="n">
        <f aca="false">K58+L58</f>
        <v>146.45</v>
      </c>
    </row>
    <row r="59" customFormat="false" ht="15" hidden="false" customHeight="false" outlineLevel="0" collapsed="false">
      <c r="A59" s="3" t="s">
        <v>291</v>
      </c>
      <c r="B59" s="3" t="s">
        <v>292</v>
      </c>
      <c r="C59" s="3" t="s">
        <v>32</v>
      </c>
      <c r="D59" s="2" t="n">
        <v>46095</v>
      </c>
      <c r="E59" s="3" t="s">
        <v>265</v>
      </c>
      <c r="F59" s="3" t="s">
        <v>290</v>
      </c>
      <c r="G59" s="3" t="n">
        <v>8</v>
      </c>
      <c r="H59" s="3" t="n">
        <v>8.1</v>
      </c>
      <c r="I59" s="3" t="n">
        <v>0.1</v>
      </c>
      <c r="J59" s="4" t="n">
        <v>14.5</v>
      </c>
      <c r="K59" s="4" t="n">
        <f aca="false">IF(H59&gt;8,8,H59)*J59</f>
        <v>116</v>
      </c>
      <c r="L59" s="4" t="n">
        <f aca="false">I59*J59*1.5</f>
        <v>2.175</v>
      </c>
      <c r="M59" s="4" t="n">
        <f aca="false">K59+L59</f>
        <v>118.175</v>
      </c>
    </row>
    <row r="60" customFormat="false" ht="15" hidden="false" customHeight="false" outlineLevel="0" collapsed="false">
      <c r="A60" s="3" t="s">
        <v>291</v>
      </c>
      <c r="B60" s="3" t="s">
        <v>292</v>
      </c>
      <c r="C60" s="3" t="s">
        <v>32</v>
      </c>
      <c r="D60" s="2" t="n">
        <v>46096</v>
      </c>
      <c r="E60" s="3" t="s">
        <v>265</v>
      </c>
      <c r="F60" s="3" t="s">
        <v>105</v>
      </c>
      <c r="G60" s="3" t="n">
        <v>8</v>
      </c>
      <c r="H60" s="3" t="n">
        <v>8.5</v>
      </c>
      <c r="I60" s="3" t="n">
        <v>0.5</v>
      </c>
      <c r="J60" s="4" t="n">
        <v>14.5</v>
      </c>
      <c r="K60" s="4" t="n">
        <f aca="false">IF(H60&gt;8,8,H60)*J60</f>
        <v>116</v>
      </c>
      <c r="L60" s="4" t="n">
        <f aca="false">I60*J60*1.5</f>
        <v>10.875</v>
      </c>
      <c r="M60" s="4" t="n">
        <f aca="false">K60+L60</f>
        <v>126.875</v>
      </c>
    </row>
    <row r="61" customFormat="false" ht="15" hidden="false" customHeight="false" outlineLevel="0" collapsed="false">
      <c r="A61" s="3" t="s">
        <v>291</v>
      </c>
      <c r="B61" s="3" t="s">
        <v>292</v>
      </c>
      <c r="C61" s="3" t="s">
        <v>32</v>
      </c>
      <c r="D61" s="2" t="n">
        <v>46097</v>
      </c>
      <c r="E61" s="3" t="s">
        <v>263</v>
      </c>
      <c r="F61" s="3" t="s">
        <v>297</v>
      </c>
      <c r="G61" s="3" t="n">
        <v>6</v>
      </c>
      <c r="H61" s="3" t="n">
        <v>6.3</v>
      </c>
      <c r="I61" s="3" t="n">
        <v>0</v>
      </c>
      <c r="J61" s="4" t="n">
        <v>14.5</v>
      </c>
      <c r="K61" s="4" t="n">
        <f aca="false">IF(H61&gt;8,8,H61)*J61</f>
        <v>91.35</v>
      </c>
      <c r="L61" s="4" t="n">
        <f aca="false">I61*J61*1.5</f>
        <v>0</v>
      </c>
      <c r="M61" s="4" t="n">
        <f aca="false">K61+L61</f>
        <v>91.35</v>
      </c>
    </row>
    <row r="62" customFormat="false" ht="15" hidden="false" customHeight="false" outlineLevel="0" collapsed="false">
      <c r="A62" s="3" t="s">
        <v>291</v>
      </c>
      <c r="B62" s="3" t="s">
        <v>292</v>
      </c>
      <c r="C62" s="3" t="s">
        <v>32</v>
      </c>
      <c r="D62" s="2" t="n">
        <v>46098</v>
      </c>
      <c r="E62" s="3" t="s">
        <v>179</v>
      </c>
      <c r="F62" s="3" t="s">
        <v>298</v>
      </c>
      <c r="G62" s="3" t="n">
        <v>8</v>
      </c>
      <c r="H62" s="3" t="n">
        <v>7.6</v>
      </c>
      <c r="I62" s="3" t="n">
        <v>0</v>
      </c>
      <c r="J62" s="4" t="n">
        <v>14.5</v>
      </c>
      <c r="K62" s="4" t="n">
        <f aca="false">IF(H62&gt;8,8,H62)*J62</f>
        <v>110.2</v>
      </c>
      <c r="L62" s="4" t="n">
        <f aca="false">I62*J62*1.5</f>
        <v>0</v>
      </c>
      <c r="M62" s="4" t="n">
        <f aca="false">K62+L62</f>
        <v>110.2</v>
      </c>
    </row>
    <row r="63" customFormat="false" ht="15" hidden="false" customHeight="false" outlineLevel="0" collapsed="false">
      <c r="A63" s="3" t="s">
        <v>291</v>
      </c>
      <c r="B63" s="3" t="s">
        <v>292</v>
      </c>
      <c r="C63" s="3" t="s">
        <v>32</v>
      </c>
      <c r="D63" s="2" t="n">
        <v>46099</v>
      </c>
      <c r="E63" s="3" t="s">
        <v>265</v>
      </c>
      <c r="F63" s="3" t="s">
        <v>299</v>
      </c>
      <c r="G63" s="3" t="n">
        <v>6</v>
      </c>
      <c r="H63" s="3" t="n">
        <v>6.3</v>
      </c>
      <c r="I63" s="3" t="n">
        <v>0</v>
      </c>
      <c r="J63" s="4" t="n">
        <v>14.5</v>
      </c>
      <c r="K63" s="4" t="n">
        <f aca="false">IF(H63&gt;8,8,H63)*J63</f>
        <v>91.35</v>
      </c>
      <c r="L63" s="4" t="n">
        <f aca="false">I63*J63*1.5</f>
        <v>0</v>
      </c>
      <c r="M63" s="4" t="n">
        <f aca="false">K63+L63</f>
        <v>91.35</v>
      </c>
    </row>
    <row r="64" customFormat="false" ht="15" hidden="false" customHeight="false" outlineLevel="0" collapsed="false">
      <c r="A64" s="3" t="s">
        <v>291</v>
      </c>
      <c r="B64" s="3" t="s">
        <v>292</v>
      </c>
      <c r="C64" s="3" t="s">
        <v>32</v>
      </c>
      <c r="D64" s="2" t="n">
        <v>46100</v>
      </c>
      <c r="E64" s="3" t="s">
        <v>54</v>
      </c>
      <c r="F64" s="3" t="s">
        <v>300</v>
      </c>
      <c r="G64" s="3" t="n">
        <v>6</v>
      </c>
      <c r="H64" s="3" t="n">
        <v>6.6</v>
      </c>
      <c r="I64" s="3" t="n">
        <v>0</v>
      </c>
      <c r="J64" s="4" t="n">
        <v>14.5</v>
      </c>
      <c r="K64" s="4" t="n">
        <f aca="false">IF(H64&gt;8,8,H64)*J64</f>
        <v>95.7</v>
      </c>
      <c r="L64" s="4" t="n">
        <f aca="false">I64*J64*1.5</f>
        <v>0</v>
      </c>
      <c r="M64" s="4" t="n">
        <f aca="false">K64+L64</f>
        <v>95.7</v>
      </c>
    </row>
    <row r="65" customFormat="false" ht="15" hidden="false" customHeight="false" outlineLevel="0" collapsed="false">
      <c r="A65" s="3" t="s">
        <v>291</v>
      </c>
      <c r="B65" s="3" t="s">
        <v>292</v>
      </c>
      <c r="C65" s="3" t="s">
        <v>32</v>
      </c>
      <c r="D65" s="2" t="n">
        <v>46101</v>
      </c>
      <c r="E65" s="3" t="s">
        <v>253</v>
      </c>
      <c r="F65" s="3" t="s">
        <v>301</v>
      </c>
      <c r="G65" s="3" t="n">
        <v>6</v>
      </c>
      <c r="H65" s="3" t="n">
        <v>7.3</v>
      </c>
      <c r="I65" s="3" t="n">
        <v>0</v>
      </c>
      <c r="J65" s="4" t="n">
        <v>14.5</v>
      </c>
      <c r="K65" s="4" t="n">
        <f aca="false">IF(H65&gt;8,8,H65)*J65</f>
        <v>105.85</v>
      </c>
      <c r="L65" s="4" t="n">
        <f aca="false">I65*J65*1.5</f>
        <v>0</v>
      </c>
      <c r="M65" s="4" t="n">
        <f aca="false">K65+L65</f>
        <v>105.85</v>
      </c>
    </row>
    <row r="66" customFormat="false" ht="15" hidden="false" customHeight="false" outlineLevel="0" collapsed="false">
      <c r="A66" s="3" t="s">
        <v>291</v>
      </c>
      <c r="B66" s="3" t="s">
        <v>292</v>
      </c>
      <c r="C66" s="3" t="s">
        <v>32</v>
      </c>
      <c r="D66" s="2" t="n">
        <v>46103</v>
      </c>
      <c r="E66" s="3" t="s">
        <v>72</v>
      </c>
      <c r="F66" s="3" t="s">
        <v>184</v>
      </c>
      <c r="G66" s="3" t="n">
        <v>6</v>
      </c>
      <c r="H66" s="3" t="n">
        <v>6</v>
      </c>
      <c r="I66" s="3" t="n">
        <v>0</v>
      </c>
      <c r="J66" s="4" t="n">
        <v>14.5</v>
      </c>
      <c r="K66" s="4" t="n">
        <f aca="false">IF(H66&gt;8,8,H66)*J66</f>
        <v>87</v>
      </c>
      <c r="L66" s="4" t="n">
        <f aca="false">I66*J66*1.5</f>
        <v>0</v>
      </c>
      <c r="M66" s="4" t="n">
        <f aca="false">K66+L66</f>
        <v>87</v>
      </c>
    </row>
    <row r="67" customFormat="false" ht="15" hidden="false" customHeight="false" outlineLevel="0" collapsed="false">
      <c r="A67" s="3" t="s">
        <v>291</v>
      </c>
      <c r="B67" s="3" t="s">
        <v>292</v>
      </c>
      <c r="C67" s="3" t="s">
        <v>32</v>
      </c>
      <c r="D67" s="2" t="n">
        <v>46104</v>
      </c>
      <c r="E67" s="3" t="s">
        <v>271</v>
      </c>
      <c r="F67" s="3" t="s">
        <v>54</v>
      </c>
      <c r="G67" s="3" t="n">
        <v>7</v>
      </c>
      <c r="H67" s="3" t="n">
        <v>7</v>
      </c>
      <c r="I67" s="3" t="n">
        <v>0</v>
      </c>
      <c r="J67" s="4" t="n">
        <v>14.5</v>
      </c>
      <c r="K67" s="4" t="n">
        <f aca="false">IF(H67&gt;8,8,H67)*J67</f>
        <v>101.5</v>
      </c>
      <c r="L67" s="4" t="n">
        <f aca="false">I67*J67*1.5</f>
        <v>0</v>
      </c>
      <c r="M67" s="4" t="n">
        <f aca="false">K67+L67</f>
        <v>101.5</v>
      </c>
    </row>
    <row r="68" customFormat="false" ht="15" hidden="false" customHeight="false" outlineLevel="0" collapsed="false">
      <c r="A68" s="3" t="s">
        <v>291</v>
      </c>
      <c r="B68" s="3" t="s">
        <v>292</v>
      </c>
      <c r="C68" s="3" t="s">
        <v>32</v>
      </c>
      <c r="D68" s="2" t="n">
        <v>46105</v>
      </c>
      <c r="E68" s="3" t="s">
        <v>72</v>
      </c>
      <c r="F68" s="3" t="s">
        <v>267</v>
      </c>
      <c r="G68" s="3" t="n">
        <v>6</v>
      </c>
      <c r="H68" s="3" t="n">
        <v>7.2</v>
      </c>
      <c r="I68" s="3" t="n">
        <v>0</v>
      </c>
      <c r="J68" s="4" t="n">
        <v>14.5</v>
      </c>
      <c r="K68" s="4" t="n">
        <f aca="false">IF(H68&gt;8,8,H68)*J68</f>
        <v>104.4</v>
      </c>
      <c r="L68" s="4" t="n">
        <f aca="false">I68*J68*1.5</f>
        <v>0</v>
      </c>
      <c r="M68" s="4" t="n">
        <f aca="false">K68+L68</f>
        <v>104.4</v>
      </c>
    </row>
    <row r="69" customFormat="false" ht="15" hidden="false" customHeight="false" outlineLevel="0" collapsed="false">
      <c r="A69" s="3" t="s">
        <v>291</v>
      </c>
      <c r="B69" s="3" t="s">
        <v>292</v>
      </c>
      <c r="C69" s="3" t="s">
        <v>32</v>
      </c>
      <c r="D69" s="2" t="n">
        <v>46106</v>
      </c>
      <c r="E69" s="3" t="s">
        <v>72</v>
      </c>
      <c r="F69" s="3" t="s">
        <v>302</v>
      </c>
      <c r="G69" s="3" t="n">
        <v>8</v>
      </c>
      <c r="H69" s="3" t="n">
        <v>8.7</v>
      </c>
      <c r="I69" s="3" t="n">
        <v>0.7</v>
      </c>
      <c r="J69" s="4" t="n">
        <v>14.5</v>
      </c>
      <c r="K69" s="4" t="n">
        <f aca="false">IF(H69&gt;8,8,H69)*J69</f>
        <v>116</v>
      </c>
      <c r="L69" s="4" t="n">
        <f aca="false">I69*J69*1.5</f>
        <v>15.225</v>
      </c>
      <c r="M69" s="4" t="n">
        <f aca="false">K69+L69</f>
        <v>131.225</v>
      </c>
    </row>
    <row r="70" customFormat="false" ht="15" hidden="false" customHeight="false" outlineLevel="0" collapsed="false">
      <c r="A70" s="3" t="s">
        <v>291</v>
      </c>
      <c r="B70" s="3" t="s">
        <v>292</v>
      </c>
      <c r="C70" s="3" t="s">
        <v>32</v>
      </c>
      <c r="D70" s="2" t="n">
        <v>46107</v>
      </c>
      <c r="E70" s="3" t="s">
        <v>279</v>
      </c>
      <c r="F70" s="3" t="s">
        <v>289</v>
      </c>
      <c r="G70" s="3" t="n">
        <v>6</v>
      </c>
      <c r="H70" s="3" t="n">
        <v>7</v>
      </c>
      <c r="I70" s="3" t="n">
        <v>0</v>
      </c>
      <c r="J70" s="4" t="n">
        <v>14.5</v>
      </c>
      <c r="K70" s="4" t="n">
        <f aca="false">IF(H70&gt;8,8,H70)*J70</f>
        <v>101.5</v>
      </c>
      <c r="L70" s="4" t="n">
        <f aca="false">I70*J70*1.5</f>
        <v>0</v>
      </c>
      <c r="M70" s="4" t="n">
        <f aca="false">K70+L70</f>
        <v>101.5</v>
      </c>
    </row>
    <row r="71" customFormat="false" ht="15" hidden="false" customHeight="false" outlineLevel="0" collapsed="false">
      <c r="A71" s="3" t="s">
        <v>291</v>
      </c>
      <c r="B71" s="3" t="s">
        <v>292</v>
      </c>
      <c r="C71" s="3" t="s">
        <v>32</v>
      </c>
      <c r="D71" s="2" t="n">
        <v>46108</v>
      </c>
      <c r="E71" s="3" t="s">
        <v>279</v>
      </c>
      <c r="F71" s="3" t="s">
        <v>101</v>
      </c>
      <c r="G71" s="3" t="n">
        <v>7</v>
      </c>
      <c r="H71" s="3" t="n">
        <v>7.5</v>
      </c>
      <c r="I71" s="3" t="n">
        <v>0</v>
      </c>
      <c r="J71" s="4" t="n">
        <v>14.5</v>
      </c>
      <c r="K71" s="4" t="n">
        <f aca="false">IF(H71&gt;8,8,H71)*J71</f>
        <v>108.75</v>
      </c>
      <c r="L71" s="4" t="n">
        <f aca="false">I71*J71*1.5</f>
        <v>0</v>
      </c>
      <c r="M71" s="4" t="n">
        <f aca="false">K71+L71</f>
        <v>108.75</v>
      </c>
    </row>
    <row r="72" customFormat="false" ht="15" hidden="false" customHeight="false" outlineLevel="0" collapsed="false">
      <c r="A72" s="3" t="s">
        <v>291</v>
      </c>
      <c r="B72" s="3" t="s">
        <v>292</v>
      </c>
      <c r="C72" s="3" t="s">
        <v>32</v>
      </c>
      <c r="D72" s="2" t="n">
        <v>46110</v>
      </c>
      <c r="E72" s="3" t="s">
        <v>72</v>
      </c>
      <c r="F72" s="3" t="s">
        <v>254</v>
      </c>
      <c r="G72" s="3" t="n">
        <v>7</v>
      </c>
      <c r="H72" s="3" t="n">
        <v>6.7</v>
      </c>
      <c r="I72" s="3" t="n">
        <v>0</v>
      </c>
      <c r="J72" s="4" t="n">
        <v>14.5</v>
      </c>
      <c r="K72" s="4" t="n">
        <f aca="false">IF(H72&gt;8,8,H72)*J72</f>
        <v>97.15</v>
      </c>
      <c r="L72" s="4" t="n">
        <f aca="false">I72*J72*1.5</f>
        <v>0</v>
      </c>
      <c r="M72" s="4" t="n">
        <f aca="false">K72+L72</f>
        <v>97.15</v>
      </c>
    </row>
    <row r="73" customFormat="false" ht="15" hidden="false" customHeight="false" outlineLevel="0" collapsed="false">
      <c r="A73" s="3" t="s">
        <v>303</v>
      </c>
      <c r="B73" s="3" t="s">
        <v>304</v>
      </c>
      <c r="C73" s="3" t="s">
        <v>305</v>
      </c>
      <c r="D73" s="2" t="n">
        <v>46082</v>
      </c>
      <c r="E73" s="3" t="s">
        <v>271</v>
      </c>
      <c r="F73" s="3" t="s">
        <v>306</v>
      </c>
      <c r="G73" s="3" t="n">
        <v>7</v>
      </c>
      <c r="H73" s="3" t="n">
        <v>10.2</v>
      </c>
      <c r="I73" s="3" t="n">
        <v>2.2</v>
      </c>
      <c r="J73" s="4" t="n">
        <v>16</v>
      </c>
      <c r="K73" s="4" t="n">
        <f aca="false">IF(H73&gt;8,8,H73)*J73</f>
        <v>128</v>
      </c>
      <c r="L73" s="4" t="n">
        <f aca="false">I73*J73*1.5</f>
        <v>52.8</v>
      </c>
      <c r="M73" s="4" t="n">
        <f aca="false">K73+L73</f>
        <v>180.8</v>
      </c>
    </row>
    <row r="74" customFormat="false" ht="15" hidden="false" customHeight="false" outlineLevel="0" collapsed="false">
      <c r="A74" s="3" t="s">
        <v>303</v>
      </c>
      <c r="B74" s="3" t="s">
        <v>304</v>
      </c>
      <c r="C74" s="3" t="s">
        <v>305</v>
      </c>
      <c r="D74" s="2" t="n">
        <v>46083</v>
      </c>
      <c r="E74" s="3" t="s">
        <v>54</v>
      </c>
      <c r="F74" s="3" t="s">
        <v>283</v>
      </c>
      <c r="G74" s="3" t="n">
        <v>6</v>
      </c>
      <c r="H74" s="3" t="n">
        <v>5.6</v>
      </c>
      <c r="I74" s="3" t="n">
        <v>0</v>
      </c>
      <c r="J74" s="4" t="n">
        <v>16</v>
      </c>
      <c r="K74" s="4" t="n">
        <f aca="false">IF(H74&gt;8,8,H74)*J74</f>
        <v>89.6</v>
      </c>
      <c r="L74" s="4" t="n">
        <f aca="false">I74*J74*1.5</f>
        <v>0</v>
      </c>
      <c r="M74" s="4" t="n">
        <f aca="false">K74+L74</f>
        <v>89.6</v>
      </c>
    </row>
    <row r="75" customFormat="false" ht="15" hidden="false" customHeight="false" outlineLevel="0" collapsed="false">
      <c r="A75" s="3" t="s">
        <v>303</v>
      </c>
      <c r="B75" s="3" t="s">
        <v>304</v>
      </c>
      <c r="C75" s="3" t="s">
        <v>305</v>
      </c>
      <c r="D75" s="2" t="n">
        <v>46084</v>
      </c>
      <c r="E75" s="3" t="s">
        <v>263</v>
      </c>
      <c r="F75" s="3" t="s">
        <v>290</v>
      </c>
      <c r="G75" s="3" t="n">
        <v>8</v>
      </c>
      <c r="H75" s="3" t="n">
        <v>9.1</v>
      </c>
      <c r="I75" s="3" t="n">
        <v>1.1</v>
      </c>
      <c r="J75" s="4" t="n">
        <v>16</v>
      </c>
      <c r="K75" s="4" t="n">
        <f aca="false">IF(H75&gt;8,8,H75)*J75</f>
        <v>128</v>
      </c>
      <c r="L75" s="4" t="n">
        <f aca="false">I75*J75*1.5</f>
        <v>26.4</v>
      </c>
      <c r="M75" s="4" t="n">
        <f aca="false">K75+L75</f>
        <v>154.4</v>
      </c>
    </row>
    <row r="76" customFormat="false" ht="15" hidden="false" customHeight="false" outlineLevel="0" collapsed="false">
      <c r="A76" s="3" t="s">
        <v>303</v>
      </c>
      <c r="B76" s="3" t="s">
        <v>304</v>
      </c>
      <c r="C76" s="3" t="s">
        <v>305</v>
      </c>
      <c r="D76" s="2" t="n">
        <v>46086</v>
      </c>
      <c r="E76" s="3" t="s">
        <v>54</v>
      </c>
      <c r="F76" s="3" t="s">
        <v>298</v>
      </c>
      <c r="G76" s="3" t="n">
        <v>8</v>
      </c>
      <c r="H76" s="3" t="n">
        <v>7.6</v>
      </c>
      <c r="I76" s="3" t="n">
        <v>0</v>
      </c>
      <c r="J76" s="4" t="n">
        <v>16</v>
      </c>
      <c r="K76" s="4" t="n">
        <f aca="false">IF(H76&gt;8,8,H76)*J76</f>
        <v>121.6</v>
      </c>
      <c r="L76" s="4" t="n">
        <f aca="false">I76*J76*1.5</f>
        <v>0</v>
      </c>
      <c r="M76" s="4" t="n">
        <f aca="false">K76+L76</f>
        <v>121.6</v>
      </c>
    </row>
    <row r="77" customFormat="false" ht="15" hidden="false" customHeight="false" outlineLevel="0" collapsed="false">
      <c r="A77" s="3" t="s">
        <v>303</v>
      </c>
      <c r="B77" s="3" t="s">
        <v>304</v>
      </c>
      <c r="C77" s="3" t="s">
        <v>305</v>
      </c>
      <c r="D77" s="2" t="n">
        <v>46087</v>
      </c>
      <c r="E77" s="3" t="s">
        <v>265</v>
      </c>
      <c r="F77" s="3" t="s">
        <v>280</v>
      </c>
      <c r="G77" s="3" t="n">
        <v>7</v>
      </c>
      <c r="H77" s="3" t="n">
        <v>10.3</v>
      </c>
      <c r="I77" s="3" t="n">
        <v>2.3</v>
      </c>
      <c r="J77" s="4" t="n">
        <v>16</v>
      </c>
      <c r="K77" s="4" t="n">
        <f aca="false">IF(H77&gt;8,8,H77)*J77</f>
        <v>128</v>
      </c>
      <c r="L77" s="4" t="n">
        <f aca="false">I77*J77*1.5</f>
        <v>55.2</v>
      </c>
      <c r="M77" s="4" t="n">
        <f aca="false">K77+L77</f>
        <v>183.2</v>
      </c>
    </row>
    <row r="78" customFormat="false" ht="15" hidden="false" customHeight="false" outlineLevel="0" collapsed="false">
      <c r="A78" s="3" t="s">
        <v>303</v>
      </c>
      <c r="B78" s="3" t="s">
        <v>304</v>
      </c>
      <c r="C78" s="3" t="s">
        <v>305</v>
      </c>
      <c r="D78" s="2" t="n">
        <v>46088</v>
      </c>
      <c r="E78" s="3" t="s">
        <v>271</v>
      </c>
      <c r="F78" s="3" t="s">
        <v>289</v>
      </c>
      <c r="G78" s="3" t="n">
        <v>8</v>
      </c>
      <c r="H78" s="3" t="n">
        <v>10.5</v>
      </c>
      <c r="I78" s="3" t="n">
        <v>2.5</v>
      </c>
      <c r="J78" s="4" t="n">
        <v>16</v>
      </c>
      <c r="K78" s="4" t="n">
        <f aca="false">IF(H78&gt;8,8,H78)*J78</f>
        <v>128</v>
      </c>
      <c r="L78" s="4" t="n">
        <f aca="false">I78*J78*1.5</f>
        <v>60</v>
      </c>
      <c r="M78" s="4" t="n">
        <f aca="false">K78+L78</f>
        <v>188</v>
      </c>
    </row>
    <row r="79" customFormat="false" ht="15" hidden="false" customHeight="false" outlineLevel="0" collapsed="false">
      <c r="A79" s="3" t="s">
        <v>303</v>
      </c>
      <c r="B79" s="3" t="s">
        <v>304</v>
      </c>
      <c r="C79" s="3" t="s">
        <v>305</v>
      </c>
      <c r="D79" s="2" t="n">
        <v>46089</v>
      </c>
      <c r="E79" s="3" t="s">
        <v>54</v>
      </c>
      <c r="F79" s="3" t="s">
        <v>296</v>
      </c>
      <c r="G79" s="3" t="n">
        <v>6</v>
      </c>
      <c r="H79" s="3" t="n">
        <v>9.7</v>
      </c>
      <c r="I79" s="3" t="n">
        <v>1.7</v>
      </c>
      <c r="J79" s="4" t="n">
        <v>16</v>
      </c>
      <c r="K79" s="4" t="n">
        <f aca="false">IF(H79&gt;8,8,H79)*J79</f>
        <v>128</v>
      </c>
      <c r="L79" s="4" t="n">
        <f aca="false">I79*J79*1.5</f>
        <v>40.8</v>
      </c>
      <c r="M79" s="4" t="n">
        <f aca="false">K79+L79</f>
        <v>168.8</v>
      </c>
    </row>
    <row r="80" customFormat="false" ht="15" hidden="false" customHeight="false" outlineLevel="0" collapsed="false">
      <c r="A80" s="3" t="s">
        <v>303</v>
      </c>
      <c r="B80" s="3" t="s">
        <v>304</v>
      </c>
      <c r="C80" s="3" t="s">
        <v>305</v>
      </c>
      <c r="D80" s="2" t="n">
        <v>46090</v>
      </c>
      <c r="E80" s="3" t="s">
        <v>265</v>
      </c>
      <c r="F80" s="3" t="s">
        <v>274</v>
      </c>
      <c r="G80" s="3" t="n">
        <v>6</v>
      </c>
      <c r="H80" s="3" t="n">
        <v>6.9</v>
      </c>
      <c r="I80" s="3" t="n">
        <v>0</v>
      </c>
      <c r="J80" s="4" t="n">
        <v>16</v>
      </c>
      <c r="K80" s="4" t="n">
        <f aca="false">IF(H80&gt;8,8,H80)*J80</f>
        <v>110.4</v>
      </c>
      <c r="L80" s="4" t="n">
        <f aca="false">I80*J80*1.5</f>
        <v>0</v>
      </c>
      <c r="M80" s="4" t="n">
        <f aca="false">K80+L80</f>
        <v>110.4</v>
      </c>
    </row>
    <row r="81" customFormat="false" ht="15" hidden="false" customHeight="false" outlineLevel="0" collapsed="false">
      <c r="A81" s="3" t="s">
        <v>303</v>
      </c>
      <c r="B81" s="3" t="s">
        <v>304</v>
      </c>
      <c r="C81" s="3" t="s">
        <v>305</v>
      </c>
      <c r="D81" s="2" t="n">
        <v>46092</v>
      </c>
      <c r="E81" s="3" t="s">
        <v>179</v>
      </c>
      <c r="F81" s="3" t="s">
        <v>252</v>
      </c>
      <c r="G81" s="3" t="n">
        <v>6</v>
      </c>
      <c r="H81" s="3" t="n">
        <v>6.4</v>
      </c>
      <c r="I81" s="3" t="n">
        <v>0</v>
      </c>
      <c r="J81" s="4" t="n">
        <v>16</v>
      </c>
      <c r="K81" s="4" t="n">
        <f aca="false">IF(H81&gt;8,8,H81)*J81</f>
        <v>102.4</v>
      </c>
      <c r="L81" s="4" t="n">
        <f aca="false">I81*J81*1.5</f>
        <v>0</v>
      </c>
      <c r="M81" s="4" t="n">
        <f aca="false">K81+L81</f>
        <v>102.4</v>
      </c>
    </row>
    <row r="82" customFormat="false" ht="15" hidden="false" customHeight="false" outlineLevel="0" collapsed="false">
      <c r="A82" s="3" t="s">
        <v>303</v>
      </c>
      <c r="B82" s="3" t="s">
        <v>304</v>
      </c>
      <c r="C82" s="3" t="s">
        <v>305</v>
      </c>
      <c r="D82" s="2" t="n">
        <v>46093</v>
      </c>
      <c r="E82" s="3" t="s">
        <v>255</v>
      </c>
      <c r="F82" s="3" t="s">
        <v>286</v>
      </c>
      <c r="G82" s="3" t="n">
        <v>8</v>
      </c>
      <c r="H82" s="3" t="n">
        <v>8.7</v>
      </c>
      <c r="I82" s="3" t="n">
        <v>0.7</v>
      </c>
      <c r="J82" s="4" t="n">
        <v>16</v>
      </c>
      <c r="K82" s="4" t="n">
        <f aca="false">IF(H82&gt;8,8,H82)*J82</f>
        <v>128</v>
      </c>
      <c r="L82" s="4" t="n">
        <f aca="false">I82*J82*1.5</f>
        <v>16.8</v>
      </c>
      <c r="M82" s="4" t="n">
        <f aca="false">K82+L82</f>
        <v>144.8</v>
      </c>
    </row>
    <row r="83" customFormat="false" ht="15" hidden="false" customHeight="false" outlineLevel="0" collapsed="false">
      <c r="A83" s="3" t="s">
        <v>303</v>
      </c>
      <c r="B83" s="3" t="s">
        <v>304</v>
      </c>
      <c r="C83" s="3" t="s">
        <v>305</v>
      </c>
      <c r="D83" s="2" t="n">
        <v>46094</v>
      </c>
      <c r="E83" s="3" t="s">
        <v>265</v>
      </c>
      <c r="F83" s="3" t="s">
        <v>307</v>
      </c>
      <c r="G83" s="3" t="n">
        <v>8</v>
      </c>
      <c r="H83" s="3" t="n">
        <v>10</v>
      </c>
      <c r="I83" s="3" t="n">
        <v>2</v>
      </c>
      <c r="J83" s="4" t="n">
        <v>16</v>
      </c>
      <c r="K83" s="4" t="n">
        <f aca="false">IF(H83&gt;8,8,H83)*J83</f>
        <v>128</v>
      </c>
      <c r="L83" s="4" t="n">
        <f aca="false">I83*J83*1.5</f>
        <v>48</v>
      </c>
      <c r="M83" s="4" t="n">
        <f aca="false">K83+L83</f>
        <v>176</v>
      </c>
    </row>
    <row r="84" customFormat="false" ht="15" hidden="false" customHeight="false" outlineLevel="0" collapsed="false">
      <c r="A84" s="3" t="s">
        <v>303</v>
      </c>
      <c r="B84" s="3" t="s">
        <v>304</v>
      </c>
      <c r="C84" s="3" t="s">
        <v>305</v>
      </c>
      <c r="D84" s="2" t="n">
        <v>46095</v>
      </c>
      <c r="E84" s="3" t="s">
        <v>260</v>
      </c>
      <c r="F84" s="3" t="s">
        <v>307</v>
      </c>
      <c r="G84" s="3" t="n">
        <v>8</v>
      </c>
      <c r="H84" s="3" t="n">
        <v>9.8</v>
      </c>
      <c r="I84" s="3" t="n">
        <v>1.8</v>
      </c>
      <c r="J84" s="4" t="n">
        <v>16</v>
      </c>
      <c r="K84" s="4" t="n">
        <f aca="false">IF(H84&gt;8,8,H84)*J84</f>
        <v>128</v>
      </c>
      <c r="L84" s="4" t="n">
        <f aca="false">I84*J84*1.5</f>
        <v>43.2</v>
      </c>
      <c r="M84" s="4" t="n">
        <f aca="false">K84+L84</f>
        <v>171.2</v>
      </c>
    </row>
    <row r="85" customFormat="false" ht="15" hidden="false" customHeight="false" outlineLevel="0" collapsed="false">
      <c r="A85" s="3" t="s">
        <v>303</v>
      </c>
      <c r="B85" s="3" t="s">
        <v>304</v>
      </c>
      <c r="C85" s="3" t="s">
        <v>305</v>
      </c>
      <c r="D85" s="2" t="n">
        <v>46096</v>
      </c>
      <c r="E85" s="3" t="s">
        <v>166</v>
      </c>
      <c r="F85" s="3" t="s">
        <v>252</v>
      </c>
      <c r="G85" s="3" t="n">
        <v>7</v>
      </c>
      <c r="H85" s="3" t="n">
        <v>9.9</v>
      </c>
      <c r="I85" s="3" t="n">
        <v>1.9</v>
      </c>
      <c r="J85" s="4" t="n">
        <v>16</v>
      </c>
      <c r="K85" s="4" t="n">
        <f aca="false">IF(H85&gt;8,8,H85)*J85</f>
        <v>128</v>
      </c>
      <c r="L85" s="4" t="n">
        <f aca="false">I85*J85*1.5</f>
        <v>45.6</v>
      </c>
      <c r="M85" s="4" t="n">
        <f aca="false">K85+L85</f>
        <v>173.6</v>
      </c>
    </row>
    <row r="86" customFormat="false" ht="15" hidden="false" customHeight="false" outlineLevel="0" collapsed="false">
      <c r="A86" s="3" t="s">
        <v>303</v>
      </c>
      <c r="B86" s="3" t="s">
        <v>304</v>
      </c>
      <c r="C86" s="3" t="s">
        <v>305</v>
      </c>
      <c r="D86" s="2" t="n">
        <v>46097</v>
      </c>
      <c r="E86" s="3" t="s">
        <v>179</v>
      </c>
      <c r="F86" s="3" t="s">
        <v>308</v>
      </c>
      <c r="G86" s="3" t="n">
        <v>6</v>
      </c>
      <c r="H86" s="3" t="n">
        <v>6.5</v>
      </c>
      <c r="I86" s="3" t="n">
        <v>0</v>
      </c>
      <c r="J86" s="4" t="n">
        <v>16</v>
      </c>
      <c r="K86" s="4" t="n">
        <f aca="false">IF(H86&gt;8,8,H86)*J86</f>
        <v>104</v>
      </c>
      <c r="L86" s="4" t="n">
        <f aca="false">I86*J86*1.5</f>
        <v>0</v>
      </c>
      <c r="M86" s="4" t="n">
        <f aca="false">K86+L86</f>
        <v>104</v>
      </c>
    </row>
    <row r="87" customFormat="false" ht="15" hidden="false" customHeight="false" outlineLevel="0" collapsed="false">
      <c r="A87" s="3" t="s">
        <v>303</v>
      </c>
      <c r="B87" s="3" t="s">
        <v>304</v>
      </c>
      <c r="C87" s="3" t="s">
        <v>305</v>
      </c>
      <c r="D87" s="2" t="n">
        <v>46098</v>
      </c>
      <c r="E87" s="3" t="s">
        <v>263</v>
      </c>
      <c r="F87" s="3" t="s">
        <v>294</v>
      </c>
      <c r="G87" s="3" t="n">
        <v>6</v>
      </c>
      <c r="H87" s="3" t="n">
        <v>6.8</v>
      </c>
      <c r="I87" s="3" t="n">
        <v>0</v>
      </c>
      <c r="J87" s="4" t="n">
        <v>16</v>
      </c>
      <c r="K87" s="4" t="n">
        <f aca="false">IF(H87&gt;8,8,H87)*J87</f>
        <v>108.8</v>
      </c>
      <c r="L87" s="4" t="n">
        <f aca="false">I87*J87*1.5</f>
        <v>0</v>
      </c>
      <c r="M87" s="4" t="n">
        <f aca="false">K87+L87</f>
        <v>108.8</v>
      </c>
    </row>
    <row r="88" customFormat="false" ht="15" hidden="false" customHeight="false" outlineLevel="0" collapsed="false">
      <c r="A88" s="3" t="s">
        <v>303</v>
      </c>
      <c r="B88" s="3" t="s">
        <v>304</v>
      </c>
      <c r="C88" s="3" t="s">
        <v>305</v>
      </c>
      <c r="D88" s="2" t="n">
        <v>46099</v>
      </c>
      <c r="E88" s="3" t="s">
        <v>260</v>
      </c>
      <c r="F88" s="3" t="s">
        <v>72</v>
      </c>
      <c r="G88" s="3" t="n">
        <v>6</v>
      </c>
      <c r="H88" s="3" t="n">
        <v>5.5</v>
      </c>
      <c r="I88" s="3" t="n">
        <v>0</v>
      </c>
      <c r="J88" s="4" t="n">
        <v>16</v>
      </c>
      <c r="K88" s="4" t="n">
        <f aca="false">IF(H88&gt;8,8,H88)*J88</f>
        <v>88</v>
      </c>
      <c r="L88" s="4" t="n">
        <f aca="false">I88*J88*1.5</f>
        <v>0</v>
      </c>
      <c r="M88" s="4" t="n">
        <f aca="false">K88+L88</f>
        <v>88</v>
      </c>
    </row>
    <row r="89" customFormat="false" ht="15" hidden="false" customHeight="false" outlineLevel="0" collapsed="false">
      <c r="A89" s="3" t="s">
        <v>303</v>
      </c>
      <c r="B89" s="3" t="s">
        <v>304</v>
      </c>
      <c r="C89" s="3" t="s">
        <v>305</v>
      </c>
      <c r="D89" s="2" t="n">
        <v>46100</v>
      </c>
      <c r="E89" s="3" t="s">
        <v>279</v>
      </c>
      <c r="F89" s="3" t="s">
        <v>101</v>
      </c>
      <c r="G89" s="3" t="n">
        <v>8</v>
      </c>
      <c r="H89" s="3" t="n">
        <v>7.5</v>
      </c>
      <c r="I89" s="3" t="n">
        <v>0</v>
      </c>
      <c r="J89" s="4" t="n">
        <v>16</v>
      </c>
      <c r="K89" s="4" t="n">
        <f aca="false">IF(H89&gt;8,8,H89)*J89</f>
        <v>120</v>
      </c>
      <c r="L89" s="4" t="n">
        <f aca="false">I89*J89*1.5</f>
        <v>0</v>
      </c>
      <c r="M89" s="4" t="n">
        <f aca="false">K89+L89</f>
        <v>120</v>
      </c>
    </row>
    <row r="90" customFormat="false" ht="15" hidden="false" customHeight="false" outlineLevel="0" collapsed="false">
      <c r="A90" s="3" t="s">
        <v>303</v>
      </c>
      <c r="B90" s="3" t="s">
        <v>304</v>
      </c>
      <c r="C90" s="3" t="s">
        <v>305</v>
      </c>
      <c r="D90" s="2" t="n">
        <v>46101</v>
      </c>
      <c r="E90" s="3" t="s">
        <v>251</v>
      </c>
      <c r="F90" s="3" t="s">
        <v>309</v>
      </c>
      <c r="G90" s="3" t="n">
        <v>8</v>
      </c>
      <c r="H90" s="3" t="n">
        <v>10.2</v>
      </c>
      <c r="I90" s="3" t="n">
        <v>2.2</v>
      </c>
      <c r="J90" s="4" t="n">
        <v>16</v>
      </c>
      <c r="K90" s="4" t="n">
        <f aca="false">IF(H90&gt;8,8,H90)*J90</f>
        <v>128</v>
      </c>
      <c r="L90" s="4" t="n">
        <f aca="false">I90*J90*1.5</f>
        <v>52.8</v>
      </c>
      <c r="M90" s="4" t="n">
        <f aca="false">K90+L90</f>
        <v>180.8</v>
      </c>
    </row>
    <row r="91" customFormat="false" ht="15" hidden="false" customHeight="false" outlineLevel="0" collapsed="false">
      <c r="A91" s="3" t="s">
        <v>303</v>
      </c>
      <c r="B91" s="3" t="s">
        <v>304</v>
      </c>
      <c r="C91" s="3" t="s">
        <v>305</v>
      </c>
      <c r="D91" s="2" t="n">
        <v>46102</v>
      </c>
      <c r="E91" s="3" t="s">
        <v>265</v>
      </c>
      <c r="F91" s="3" t="s">
        <v>261</v>
      </c>
      <c r="G91" s="3" t="n">
        <v>7</v>
      </c>
      <c r="H91" s="3" t="n">
        <v>9.8</v>
      </c>
      <c r="I91" s="3" t="n">
        <v>1.8</v>
      </c>
      <c r="J91" s="4" t="n">
        <v>16</v>
      </c>
      <c r="K91" s="4" t="n">
        <f aca="false">IF(H91&gt;8,8,H91)*J91</f>
        <v>128</v>
      </c>
      <c r="L91" s="4" t="n">
        <f aca="false">I91*J91*1.5</f>
        <v>43.2</v>
      </c>
      <c r="M91" s="4" t="n">
        <f aca="false">K91+L91</f>
        <v>171.2</v>
      </c>
    </row>
    <row r="92" customFormat="false" ht="15" hidden="false" customHeight="false" outlineLevel="0" collapsed="false">
      <c r="A92" s="3" t="s">
        <v>303</v>
      </c>
      <c r="B92" s="3" t="s">
        <v>304</v>
      </c>
      <c r="C92" s="3" t="s">
        <v>305</v>
      </c>
      <c r="D92" s="2" t="n">
        <v>46103</v>
      </c>
      <c r="E92" s="3" t="s">
        <v>265</v>
      </c>
      <c r="F92" s="3" t="s">
        <v>310</v>
      </c>
      <c r="G92" s="3" t="n">
        <v>6</v>
      </c>
      <c r="H92" s="3" t="n">
        <v>10.3</v>
      </c>
      <c r="I92" s="3" t="n">
        <v>2.3</v>
      </c>
      <c r="J92" s="4" t="n">
        <v>16</v>
      </c>
      <c r="K92" s="4" t="n">
        <f aca="false">IF(H92&gt;8,8,H92)*J92</f>
        <v>128</v>
      </c>
      <c r="L92" s="4" t="n">
        <f aca="false">I92*J92*1.5</f>
        <v>55.2</v>
      </c>
      <c r="M92" s="4" t="n">
        <f aca="false">K92+L92</f>
        <v>183.2</v>
      </c>
    </row>
    <row r="93" customFormat="false" ht="15" hidden="false" customHeight="false" outlineLevel="0" collapsed="false">
      <c r="A93" s="3" t="s">
        <v>303</v>
      </c>
      <c r="B93" s="3" t="s">
        <v>304</v>
      </c>
      <c r="C93" s="3" t="s">
        <v>305</v>
      </c>
      <c r="D93" s="2" t="n">
        <v>46104</v>
      </c>
      <c r="E93" s="3" t="s">
        <v>166</v>
      </c>
      <c r="F93" s="3" t="s">
        <v>259</v>
      </c>
      <c r="G93" s="3" t="n">
        <v>7</v>
      </c>
      <c r="H93" s="3" t="n">
        <v>6.8</v>
      </c>
      <c r="I93" s="3" t="n">
        <v>0</v>
      </c>
      <c r="J93" s="4" t="n">
        <v>16</v>
      </c>
      <c r="K93" s="4" t="n">
        <f aca="false">IF(H93&gt;8,8,H93)*J93</f>
        <v>108.8</v>
      </c>
      <c r="L93" s="4" t="n">
        <f aca="false">I93*J93*1.5</f>
        <v>0</v>
      </c>
      <c r="M93" s="4" t="n">
        <f aca="false">K93+L93</f>
        <v>108.8</v>
      </c>
    </row>
    <row r="94" customFormat="false" ht="15" hidden="false" customHeight="false" outlineLevel="0" collapsed="false">
      <c r="A94" s="3" t="s">
        <v>303</v>
      </c>
      <c r="B94" s="3" t="s">
        <v>304</v>
      </c>
      <c r="C94" s="3" t="s">
        <v>305</v>
      </c>
      <c r="D94" s="2" t="n">
        <v>46105</v>
      </c>
      <c r="E94" s="3" t="s">
        <v>271</v>
      </c>
      <c r="F94" s="3" t="s">
        <v>310</v>
      </c>
      <c r="G94" s="3" t="n">
        <v>8</v>
      </c>
      <c r="H94" s="3" t="n">
        <v>7.6</v>
      </c>
      <c r="I94" s="3" t="n">
        <v>0</v>
      </c>
      <c r="J94" s="4" t="n">
        <v>16</v>
      </c>
      <c r="K94" s="4" t="n">
        <f aca="false">IF(H94&gt;8,8,H94)*J94</f>
        <v>121.6</v>
      </c>
      <c r="L94" s="4" t="n">
        <f aca="false">I94*J94*1.5</f>
        <v>0</v>
      </c>
      <c r="M94" s="4" t="n">
        <f aca="false">K94+L94</f>
        <v>121.6</v>
      </c>
    </row>
    <row r="95" customFormat="false" ht="15" hidden="false" customHeight="false" outlineLevel="0" collapsed="false">
      <c r="A95" s="3" t="s">
        <v>303</v>
      </c>
      <c r="B95" s="3" t="s">
        <v>304</v>
      </c>
      <c r="C95" s="3" t="s">
        <v>305</v>
      </c>
      <c r="D95" s="2" t="n">
        <v>46106</v>
      </c>
      <c r="E95" s="3" t="s">
        <v>271</v>
      </c>
      <c r="F95" s="3" t="s">
        <v>311</v>
      </c>
      <c r="G95" s="3" t="n">
        <v>8</v>
      </c>
      <c r="H95" s="3" t="n">
        <v>9.2</v>
      </c>
      <c r="I95" s="3" t="n">
        <v>1.2</v>
      </c>
      <c r="J95" s="4" t="n">
        <v>16</v>
      </c>
      <c r="K95" s="4" t="n">
        <f aca="false">IF(H95&gt;8,8,H95)*J95</f>
        <v>128</v>
      </c>
      <c r="L95" s="4" t="n">
        <f aca="false">I95*J95*1.5</f>
        <v>28.8</v>
      </c>
      <c r="M95" s="4" t="n">
        <f aca="false">K95+L95</f>
        <v>156.8</v>
      </c>
    </row>
    <row r="96" customFormat="false" ht="15" hidden="false" customHeight="false" outlineLevel="0" collapsed="false">
      <c r="A96" s="3" t="s">
        <v>303</v>
      </c>
      <c r="B96" s="3" t="s">
        <v>304</v>
      </c>
      <c r="C96" s="3" t="s">
        <v>305</v>
      </c>
      <c r="D96" s="2" t="n">
        <v>46108</v>
      </c>
      <c r="E96" s="3" t="s">
        <v>263</v>
      </c>
      <c r="F96" s="3" t="s">
        <v>284</v>
      </c>
      <c r="G96" s="3" t="n">
        <v>8</v>
      </c>
      <c r="H96" s="3" t="n">
        <v>11.2</v>
      </c>
      <c r="I96" s="3" t="n">
        <v>3.2</v>
      </c>
      <c r="J96" s="4" t="n">
        <v>16</v>
      </c>
      <c r="K96" s="4" t="n">
        <f aca="false">IF(H96&gt;8,8,H96)*J96</f>
        <v>128</v>
      </c>
      <c r="L96" s="4" t="n">
        <f aca="false">I96*J96*1.5</f>
        <v>76.8</v>
      </c>
      <c r="M96" s="4" t="n">
        <f aca="false">K96+L96</f>
        <v>204.8</v>
      </c>
    </row>
    <row r="97" customFormat="false" ht="15" hidden="false" customHeight="false" outlineLevel="0" collapsed="false">
      <c r="A97" s="3" t="s">
        <v>303</v>
      </c>
      <c r="B97" s="3" t="s">
        <v>304</v>
      </c>
      <c r="C97" s="3" t="s">
        <v>305</v>
      </c>
      <c r="D97" s="2" t="n">
        <v>46109</v>
      </c>
      <c r="E97" s="3" t="s">
        <v>265</v>
      </c>
      <c r="F97" s="3" t="s">
        <v>307</v>
      </c>
      <c r="G97" s="3" t="n">
        <v>8</v>
      </c>
      <c r="H97" s="3" t="n">
        <v>11.4</v>
      </c>
      <c r="I97" s="3" t="n">
        <v>3.4</v>
      </c>
      <c r="J97" s="4" t="n">
        <v>16</v>
      </c>
      <c r="K97" s="4" t="n">
        <f aca="false">IF(H97&gt;8,8,H97)*J97</f>
        <v>128</v>
      </c>
      <c r="L97" s="4" t="n">
        <f aca="false">I97*J97*1.5</f>
        <v>81.6</v>
      </c>
      <c r="M97" s="4" t="n">
        <f aca="false">K97+L97</f>
        <v>209.6</v>
      </c>
    </row>
    <row r="98" customFormat="false" ht="15" hidden="false" customHeight="false" outlineLevel="0" collapsed="false">
      <c r="A98" s="3" t="s">
        <v>303</v>
      </c>
      <c r="B98" s="3" t="s">
        <v>304</v>
      </c>
      <c r="C98" s="3" t="s">
        <v>305</v>
      </c>
      <c r="D98" s="2" t="n">
        <v>46110</v>
      </c>
      <c r="E98" s="3" t="s">
        <v>263</v>
      </c>
      <c r="F98" s="3" t="s">
        <v>289</v>
      </c>
      <c r="G98" s="3" t="n">
        <v>8</v>
      </c>
      <c r="H98" s="3" t="n">
        <v>11.2</v>
      </c>
      <c r="I98" s="3" t="n">
        <v>3.2</v>
      </c>
      <c r="J98" s="4" t="n">
        <v>16</v>
      </c>
      <c r="K98" s="4" t="n">
        <f aca="false">IF(H98&gt;8,8,H98)*J98</f>
        <v>128</v>
      </c>
      <c r="L98" s="4" t="n">
        <f aca="false">I98*J98*1.5</f>
        <v>76.8</v>
      </c>
      <c r="M98" s="4" t="n">
        <f aca="false">K98+L98</f>
        <v>204.8</v>
      </c>
    </row>
    <row r="99" customFormat="false" ht="15" hidden="false" customHeight="false" outlineLevel="0" collapsed="false">
      <c r="A99" s="3" t="s">
        <v>303</v>
      </c>
      <c r="B99" s="3" t="s">
        <v>304</v>
      </c>
      <c r="C99" s="3" t="s">
        <v>305</v>
      </c>
      <c r="D99" s="2" t="n">
        <v>46112</v>
      </c>
      <c r="E99" s="3" t="s">
        <v>271</v>
      </c>
      <c r="F99" s="3" t="s">
        <v>312</v>
      </c>
      <c r="G99" s="3" t="n">
        <v>8</v>
      </c>
      <c r="H99" s="3" t="n">
        <v>9</v>
      </c>
      <c r="I99" s="3" t="n">
        <v>1</v>
      </c>
      <c r="J99" s="4" t="n">
        <v>16</v>
      </c>
      <c r="K99" s="4" t="n">
        <f aca="false">IF(H99&gt;8,8,H99)*J99</f>
        <v>128</v>
      </c>
      <c r="L99" s="4" t="n">
        <f aca="false">I99*J99*1.5</f>
        <v>24</v>
      </c>
      <c r="M99" s="4" t="n">
        <f aca="false">K99+L99</f>
        <v>152</v>
      </c>
    </row>
    <row r="100" customFormat="false" ht="15" hidden="false" customHeight="false" outlineLevel="0" collapsed="false">
      <c r="A100" s="3" t="s">
        <v>313</v>
      </c>
      <c r="B100" s="3" t="s">
        <v>314</v>
      </c>
      <c r="C100" s="3" t="s">
        <v>315</v>
      </c>
      <c r="D100" s="2" t="n">
        <v>46082</v>
      </c>
      <c r="E100" s="3" t="s">
        <v>279</v>
      </c>
      <c r="F100" s="3" t="s">
        <v>311</v>
      </c>
      <c r="G100" s="3" t="n">
        <v>8</v>
      </c>
      <c r="H100" s="3" t="n">
        <v>8.2</v>
      </c>
      <c r="I100" s="3" t="n">
        <v>0.2</v>
      </c>
      <c r="J100" s="4" t="n">
        <v>13</v>
      </c>
      <c r="K100" s="4" t="n">
        <f aca="false">IF(H100&gt;8,8,H100)*J100</f>
        <v>104</v>
      </c>
      <c r="L100" s="4" t="n">
        <f aca="false">I100*J100*1.5</f>
        <v>3.9</v>
      </c>
      <c r="M100" s="4" t="n">
        <f aca="false">K100+L100</f>
        <v>107.9</v>
      </c>
    </row>
    <row r="101" customFormat="false" ht="15" hidden="false" customHeight="false" outlineLevel="0" collapsed="false">
      <c r="A101" s="3" t="s">
        <v>313</v>
      </c>
      <c r="B101" s="3" t="s">
        <v>314</v>
      </c>
      <c r="C101" s="3" t="s">
        <v>315</v>
      </c>
      <c r="D101" s="2" t="n">
        <v>46083</v>
      </c>
      <c r="E101" s="3" t="s">
        <v>54</v>
      </c>
      <c r="F101" s="3" t="s">
        <v>273</v>
      </c>
      <c r="G101" s="3" t="n">
        <v>6</v>
      </c>
      <c r="H101" s="3" t="n">
        <v>7.4</v>
      </c>
      <c r="I101" s="3" t="n">
        <v>0</v>
      </c>
      <c r="J101" s="4" t="n">
        <v>13</v>
      </c>
      <c r="K101" s="4" t="n">
        <f aca="false">IF(H101&gt;8,8,H101)*J101</f>
        <v>96.2</v>
      </c>
      <c r="L101" s="4" t="n">
        <f aca="false">I101*J101*1.5</f>
        <v>0</v>
      </c>
      <c r="M101" s="4" t="n">
        <f aca="false">K101+L101</f>
        <v>96.2</v>
      </c>
    </row>
    <row r="102" customFormat="false" ht="15" hidden="false" customHeight="false" outlineLevel="0" collapsed="false">
      <c r="A102" s="3" t="s">
        <v>313</v>
      </c>
      <c r="B102" s="3" t="s">
        <v>314</v>
      </c>
      <c r="C102" s="3" t="s">
        <v>315</v>
      </c>
      <c r="D102" s="2" t="n">
        <v>46084</v>
      </c>
      <c r="E102" s="3" t="s">
        <v>263</v>
      </c>
      <c r="F102" s="3" t="s">
        <v>54</v>
      </c>
      <c r="G102" s="3" t="n">
        <v>7</v>
      </c>
      <c r="H102" s="3" t="n">
        <v>7</v>
      </c>
      <c r="I102" s="3" t="n">
        <v>0</v>
      </c>
      <c r="J102" s="4" t="n">
        <v>13</v>
      </c>
      <c r="K102" s="4" t="n">
        <f aca="false">IF(H102&gt;8,8,H102)*J102</f>
        <v>91</v>
      </c>
      <c r="L102" s="4" t="n">
        <f aca="false">I102*J102*1.5</f>
        <v>0</v>
      </c>
      <c r="M102" s="4" t="n">
        <f aca="false">K102+L102</f>
        <v>91</v>
      </c>
    </row>
    <row r="103" customFormat="false" ht="15" hidden="false" customHeight="false" outlineLevel="0" collapsed="false">
      <c r="A103" s="3" t="s">
        <v>313</v>
      </c>
      <c r="B103" s="3" t="s">
        <v>314</v>
      </c>
      <c r="C103" s="3" t="s">
        <v>315</v>
      </c>
      <c r="D103" s="2" t="n">
        <v>46085</v>
      </c>
      <c r="E103" s="3" t="s">
        <v>260</v>
      </c>
      <c r="F103" s="3" t="s">
        <v>316</v>
      </c>
      <c r="G103" s="3" t="n">
        <v>7</v>
      </c>
      <c r="H103" s="3" t="n">
        <v>7.9</v>
      </c>
      <c r="I103" s="3" t="n">
        <v>0</v>
      </c>
      <c r="J103" s="4" t="n">
        <v>13</v>
      </c>
      <c r="K103" s="4" t="n">
        <f aca="false">IF(H103&gt;8,8,H103)*J103</f>
        <v>102.7</v>
      </c>
      <c r="L103" s="4" t="n">
        <f aca="false">I103*J103*1.5</f>
        <v>0</v>
      </c>
      <c r="M103" s="4" t="n">
        <f aca="false">K103+L103</f>
        <v>102.7</v>
      </c>
    </row>
    <row r="104" customFormat="false" ht="15" hidden="false" customHeight="false" outlineLevel="0" collapsed="false">
      <c r="A104" s="3" t="s">
        <v>313</v>
      </c>
      <c r="B104" s="3" t="s">
        <v>314</v>
      </c>
      <c r="C104" s="3" t="s">
        <v>315</v>
      </c>
      <c r="D104" s="2" t="n">
        <v>46087</v>
      </c>
      <c r="E104" s="3" t="s">
        <v>265</v>
      </c>
      <c r="F104" s="3" t="s">
        <v>288</v>
      </c>
      <c r="G104" s="3" t="n">
        <v>6</v>
      </c>
      <c r="H104" s="3" t="n">
        <v>6.2</v>
      </c>
      <c r="I104" s="3" t="n">
        <v>0</v>
      </c>
      <c r="J104" s="4" t="n">
        <v>13</v>
      </c>
      <c r="K104" s="4" t="n">
        <f aca="false">IF(H104&gt;8,8,H104)*J104</f>
        <v>80.6</v>
      </c>
      <c r="L104" s="4" t="n">
        <f aca="false">I104*J104*1.5</f>
        <v>0</v>
      </c>
      <c r="M104" s="4" t="n">
        <f aca="false">K104+L104</f>
        <v>80.6</v>
      </c>
    </row>
    <row r="105" customFormat="false" ht="15" hidden="false" customHeight="false" outlineLevel="0" collapsed="false">
      <c r="A105" s="3" t="s">
        <v>313</v>
      </c>
      <c r="B105" s="3" t="s">
        <v>314</v>
      </c>
      <c r="C105" s="3" t="s">
        <v>315</v>
      </c>
      <c r="D105" s="2" t="n">
        <v>46088</v>
      </c>
      <c r="E105" s="3" t="s">
        <v>253</v>
      </c>
      <c r="F105" s="3" t="s">
        <v>184</v>
      </c>
      <c r="G105" s="3" t="n">
        <v>6</v>
      </c>
      <c r="H105" s="3" t="n">
        <v>6</v>
      </c>
      <c r="I105" s="3" t="n">
        <v>0</v>
      </c>
      <c r="J105" s="4" t="n">
        <v>13</v>
      </c>
      <c r="K105" s="4" t="n">
        <f aca="false">IF(H105&gt;8,8,H105)*J105</f>
        <v>78</v>
      </c>
      <c r="L105" s="4" t="n">
        <f aca="false">I105*J105*1.5</f>
        <v>0</v>
      </c>
      <c r="M105" s="4" t="n">
        <f aca="false">K105+L105</f>
        <v>78</v>
      </c>
    </row>
    <row r="106" customFormat="false" ht="15" hidden="false" customHeight="false" outlineLevel="0" collapsed="false">
      <c r="A106" s="3" t="s">
        <v>313</v>
      </c>
      <c r="B106" s="3" t="s">
        <v>314</v>
      </c>
      <c r="C106" s="3" t="s">
        <v>315</v>
      </c>
      <c r="D106" s="2" t="n">
        <v>46089</v>
      </c>
      <c r="E106" s="3" t="s">
        <v>54</v>
      </c>
      <c r="F106" s="3" t="s">
        <v>283</v>
      </c>
      <c r="G106" s="3" t="n">
        <v>6</v>
      </c>
      <c r="H106" s="3" t="n">
        <v>5.6</v>
      </c>
      <c r="I106" s="3" t="n">
        <v>0</v>
      </c>
      <c r="J106" s="4" t="n">
        <v>13</v>
      </c>
      <c r="K106" s="4" t="n">
        <f aca="false">IF(H106&gt;8,8,H106)*J106</f>
        <v>72.8</v>
      </c>
      <c r="L106" s="4" t="n">
        <f aca="false">I106*J106*1.5</f>
        <v>0</v>
      </c>
      <c r="M106" s="4" t="n">
        <f aca="false">K106+L106</f>
        <v>72.8</v>
      </c>
    </row>
    <row r="107" customFormat="false" ht="15" hidden="false" customHeight="false" outlineLevel="0" collapsed="false">
      <c r="A107" s="3" t="s">
        <v>313</v>
      </c>
      <c r="B107" s="3" t="s">
        <v>314</v>
      </c>
      <c r="C107" s="3" t="s">
        <v>315</v>
      </c>
      <c r="D107" s="2" t="n">
        <v>46090</v>
      </c>
      <c r="E107" s="3" t="s">
        <v>271</v>
      </c>
      <c r="F107" s="3" t="s">
        <v>317</v>
      </c>
      <c r="G107" s="3" t="n">
        <v>7</v>
      </c>
      <c r="H107" s="3" t="n">
        <v>6.6</v>
      </c>
      <c r="I107" s="3" t="n">
        <v>0</v>
      </c>
      <c r="J107" s="4" t="n">
        <v>13</v>
      </c>
      <c r="K107" s="4" t="n">
        <f aca="false">IF(H107&gt;8,8,H107)*J107</f>
        <v>85.8</v>
      </c>
      <c r="L107" s="4" t="n">
        <f aca="false">I107*J107*1.5</f>
        <v>0</v>
      </c>
      <c r="M107" s="4" t="n">
        <f aca="false">K107+L107</f>
        <v>85.8</v>
      </c>
    </row>
    <row r="108" customFormat="false" ht="15" hidden="false" customHeight="false" outlineLevel="0" collapsed="false">
      <c r="A108" s="3" t="s">
        <v>313</v>
      </c>
      <c r="B108" s="3" t="s">
        <v>314</v>
      </c>
      <c r="C108" s="3" t="s">
        <v>315</v>
      </c>
      <c r="D108" s="2" t="n">
        <v>46091</v>
      </c>
      <c r="E108" s="3" t="s">
        <v>251</v>
      </c>
      <c r="F108" s="3" t="s">
        <v>318</v>
      </c>
      <c r="G108" s="3" t="n">
        <v>7</v>
      </c>
      <c r="H108" s="3" t="n">
        <v>7.9</v>
      </c>
      <c r="I108" s="3" t="n">
        <v>0</v>
      </c>
      <c r="J108" s="4" t="n">
        <v>13</v>
      </c>
      <c r="K108" s="4" t="n">
        <f aca="false">IF(H108&gt;8,8,H108)*J108</f>
        <v>102.7</v>
      </c>
      <c r="L108" s="4" t="n">
        <f aca="false">I108*J108*1.5</f>
        <v>0</v>
      </c>
      <c r="M108" s="4" t="n">
        <f aca="false">K108+L108</f>
        <v>102.7</v>
      </c>
    </row>
    <row r="109" customFormat="false" ht="15" hidden="false" customHeight="false" outlineLevel="0" collapsed="false">
      <c r="A109" s="3" t="s">
        <v>313</v>
      </c>
      <c r="B109" s="3" t="s">
        <v>314</v>
      </c>
      <c r="C109" s="3" t="s">
        <v>315</v>
      </c>
      <c r="D109" s="2" t="n">
        <v>46093</v>
      </c>
      <c r="E109" s="3" t="s">
        <v>265</v>
      </c>
      <c r="F109" s="3" t="s">
        <v>289</v>
      </c>
      <c r="G109" s="3" t="n">
        <v>7</v>
      </c>
      <c r="H109" s="3" t="n">
        <v>7</v>
      </c>
      <c r="I109" s="3" t="n">
        <v>0</v>
      </c>
      <c r="J109" s="4" t="n">
        <v>13</v>
      </c>
      <c r="K109" s="4" t="n">
        <f aca="false">IF(H109&gt;8,8,H109)*J109</f>
        <v>91</v>
      </c>
      <c r="L109" s="4" t="n">
        <f aca="false">I109*J109*1.5</f>
        <v>0</v>
      </c>
      <c r="M109" s="4" t="n">
        <f aca="false">K109+L109</f>
        <v>91</v>
      </c>
    </row>
    <row r="110" customFormat="false" ht="15" hidden="false" customHeight="false" outlineLevel="0" collapsed="false">
      <c r="A110" s="3" t="s">
        <v>313</v>
      </c>
      <c r="B110" s="3" t="s">
        <v>314</v>
      </c>
      <c r="C110" s="3" t="s">
        <v>315</v>
      </c>
      <c r="D110" s="2" t="n">
        <v>46094</v>
      </c>
      <c r="E110" s="3" t="s">
        <v>253</v>
      </c>
      <c r="F110" s="3" t="s">
        <v>257</v>
      </c>
      <c r="G110" s="3" t="n">
        <v>6</v>
      </c>
      <c r="H110" s="3" t="n">
        <v>6.2</v>
      </c>
      <c r="I110" s="3" t="n">
        <v>0</v>
      </c>
      <c r="J110" s="4" t="n">
        <v>13</v>
      </c>
      <c r="K110" s="4" t="n">
        <f aca="false">IF(H110&gt;8,8,H110)*J110</f>
        <v>80.6</v>
      </c>
      <c r="L110" s="4" t="n">
        <f aca="false">I110*J110*1.5</f>
        <v>0</v>
      </c>
      <c r="M110" s="4" t="n">
        <f aca="false">K110+L110</f>
        <v>80.6</v>
      </c>
    </row>
    <row r="111" customFormat="false" ht="15" hidden="false" customHeight="false" outlineLevel="0" collapsed="false">
      <c r="A111" s="3" t="s">
        <v>313</v>
      </c>
      <c r="B111" s="3" t="s">
        <v>314</v>
      </c>
      <c r="C111" s="3" t="s">
        <v>315</v>
      </c>
      <c r="D111" s="2" t="n">
        <v>46095</v>
      </c>
      <c r="E111" s="3" t="s">
        <v>271</v>
      </c>
      <c r="F111" s="3" t="s">
        <v>284</v>
      </c>
      <c r="G111" s="3" t="n">
        <v>8</v>
      </c>
      <c r="H111" s="3" t="n">
        <v>7.7</v>
      </c>
      <c r="I111" s="3" t="n">
        <v>0</v>
      </c>
      <c r="J111" s="4" t="n">
        <v>13</v>
      </c>
      <c r="K111" s="4" t="n">
        <f aca="false">IF(H111&gt;8,8,H111)*J111</f>
        <v>100.1</v>
      </c>
      <c r="L111" s="4" t="n">
        <f aca="false">I111*J111*1.5</f>
        <v>0</v>
      </c>
      <c r="M111" s="4" t="n">
        <f aca="false">K111+L111</f>
        <v>100.1</v>
      </c>
    </row>
    <row r="112" customFormat="false" ht="15" hidden="false" customHeight="false" outlineLevel="0" collapsed="false">
      <c r="A112" s="3" t="s">
        <v>313</v>
      </c>
      <c r="B112" s="3" t="s">
        <v>314</v>
      </c>
      <c r="C112" s="3" t="s">
        <v>315</v>
      </c>
      <c r="D112" s="2" t="n">
        <v>46097</v>
      </c>
      <c r="E112" s="3" t="s">
        <v>255</v>
      </c>
      <c r="F112" s="3" t="s">
        <v>319</v>
      </c>
      <c r="G112" s="3" t="n">
        <v>6</v>
      </c>
      <c r="H112" s="3" t="n">
        <v>5.9</v>
      </c>
      <c r="I112" s="3" t="n">
        <v>0</v>
      </c>
      <c r="J112" s="4" t="n">
        <v>13</v>
      </c>
      <c r="K112" s="4" t="n">
        <f aca="false">IF(H112&gt;8,8,H112)*J112</f>
        <v>76.7</v>
      </c>
      <c r="L112" s="4" t="n">
        <f aca="false">I112*J112*1.5</f>
        <v>0</v>
      </c>
      <c r="M112" s="4" t="n">
        <f aca="false">K112+L112</f>
        <v>76.7</v>
      </c>
    </row>
    <row r="113" customFormat="false" ht="15" hidden="false" customHeight="false" outlineLevel="0" collapsed="false">
      <c r="A113" s="3" t="s">
        <v>313</v>
      </c>
      <c r="B113" s="3" t="s">
        <v>314</v>
      </c>
      <c r="C113" s="3" t="s">
        <v>315</v>
      </c>
      <c r="D113" s="2" t="n">
        <v>46099</v>
      </c>
      <c r="E113" s="3" t="s">
        <v>271</v>
      </c>
      <c r="F113" s="3" t="s">
        <v>270</v>
      </c>
      <c r="G113" s="3" t="n">
        <v>7</v>
      </c>
      <c r="H113" s="3" t="n">
        <v>7.4</v>
      </c>
      <c r="I113" s="3" t="n">
        <v>0</v>
      </c>
      <c r="J113" s="4" t="n">
        <v>13</v>
      </c>
      <c r="K113" s="4" t="n">
        <f aca="false">IF(H113&gt;8,8,H113)*J113</f>
        <v>96.2</v>
      </c>
      <c r="L113" s="4" t="n">
        <f aca="false">I113*J113*1.5</f>
        <v>0</v>
      </c>
      <c r="M113" s="4" t="n">
        <f aca="false">K113+L113</f>
        <v>96.2</v>
      </c>
    </row>
    <row r="114" customFormat="false" ht="15" hidden="false" customHeight="false" outlineLevel="0" collapsed="false">
      <c r="A114" s="3" t="s">
        <v>313</v>
      </c>
      <c r="B114" s="3" t="s">
        <v>314</v>
      </c>
      <c r="C114" s="3" t="s">
        <v>315</v>
      </c>
      <c r="D114" s="2" t="n">
        <v>46100</v>
      </c>
      <c r="E114" s="3" t="s">
        <v>54</v>
      </c>
      <c r="F114" s="3" t="s">
        <v>320</v>
      </c>
      <c r="G114" s="3" t="n">
        <v>7</v>
      </c>
      <c r="H114" s="3" t="n">
        <v>7.3</v>
      </c>
      <c r="I114" s="3" t="n">
        <v>0</v>
      </c>
      <c r="J114" s="4" t="n">
        <v>13</v>
      </c>
      <c r="K114" s="4" t="n">
        <f aca="false">IF(H114&gt;8,8,H114)*J114</f>
        <v>94.9</v>
      </c>
      <c r="L114" s="4" t="n">
        <f aca="false">I114*J114*1.5</f>
        <v>0</v>
      </c>
      <c r="M114" s="4" t="n">
        <f aca="false">K114+L114</f>
        <v>94.9</v>
      </c>
    </row>
    <row r="115" customFormat="false" ht="15" hidden="false" customHeight="false" outlineLevel="0" collapsed="false">
      <c r="A115" s="3" t="s">
        <v>313</v>
      </c>
      <c r="B115" s="3" t="s">
        <v>314</v>
      </c>
      <c r="C115" s="3" t="s">
        <v>315</v>
      </c>
      <c r="D115" s="2" t="n">
        <v>46101</v>
      </c>
      <c r="E115" s="3" t="s">
        <v>179</v>
      </c>
      <c r="F115" s="3" t="s">
        <v>273</v>
      </c>
      <c r="G115" s="3" t="n">
        <v>7</v>
      </c>
      <c r="H115" s="3" t="n">
        <v>7.4</v>
      </c>
      <c r="I115" s="3" t="n">
        <v>0</v>
      </c>
      <c r="J115" s="4" t="n">
        <v>13</v>
      </c>
      <c r="K115" s="4" t="n">
        <f aca="false">IF(H115&gt;8,8,H115)*J115</f>
        <v>96.2</v>
      </c>
      <c r="L115" s="4" t="n">
        <f aca="false">I115*J115*1.5</f>
        <v>0</v>
      </c>
      <c r="M115" s="4" t="n">
        <f aca="false">K115+L115</f>
        <v>96.2</v>
      </c>
    </row>
    <row r="116" customFormat="false" ht="15" hidden="false" customHeight="false" outlineLevel="0" collapsed="false">
      <c r="A116" s="3" t="s">
        <v>313</v>
      </c>
      <c r="B116" s="3" t="s">
        <v>314</v>
      </c>
      <c r="C116" s="3" t="s">
        <v>315</v>
      </c>
      <c r="D116" s="2" t="n">
        <v>46102</v>
      </c>
      <c r="E116" s="3" t="s">
        <v>166</v>
      </c>
      <c r="F116" s="3" t="s">
        <v>321</v>
      </c>
      <c r="G116" s="3" t="n">
        <v>7</v>
      </c>
      <c r="H116" s="3" t="n">
        <v>8.2</v>
      </c>
      <c r="I116" s="3" t="n">
        <v>0.2</v>
      </c>
      <c r="J116" s="4" t="n">
        <v>13</v>
      </c>
      <c r="K116" s="4" t="n">
        <f aca="false">IF(H116&gt;8,8,H116)*J116</f>
        <v>104</v>
      </c>
      <c r="L116" s="4" t="n">
        <f aca="false">I116*J116*1.5</f>
        <v>3.9</v>
      </c>
      <c r="M116" s="4" t="n">
        <f aca="false">K116+L116</f>
        <v>107.9</v>
      </c>
    </row>
    <row r="117" customFormat="false" ht="15" hidden="false" customHeight="false" outlineLevel="0" collapsed="false">
      <c r="A117" s="3" t="s">
        <v>313</v>
      </c>
      <c r="B117" s="3" t="s">
        <v>314</v>
      </c>
      <c r="C117" s="3" t="s">
        <v>315</v>
      </c>
      <c r="D117" s="2" t="n">
        <v>46103</v>
      </c>
      <c r="E117" s="3" t="s">
        <v>279</v>
      </c>
      <c r="F117" s="3" t="s">
        <v>322</v>
      </c>
      <c r="G117" s="3" t="n">
        <v>8</v>
      </c>
      <c r="H117" s="3" t="n">
        <v>8.8</v>
      </c>
      <c r="I117" s="3" t="n">
        <v>0.8</v>
      </c>
      <c r="J117" s="4" t="n">
        <v>13</v>
      </c>
      <c r="K117" s="4" t="n">
        <f aca="false">IF(H117&gt;8,8,H117)*J117</f>
        <v>104</v>
      </c>
      <c r="L117" s="4" t="n">
        <f aca="false">I117*J117*1.5</f>
        <v>15.6</v>
      </c>
      <c r="M117" s="4" t="n">
        <f aca="false">K117+L117</f>
        <v>119.6</v>
      </c>
    </row>
    <row r="118" customFormat="false" ht="15" hidden="false" customHeight="false" outlineLevel="0" collapsed="false">
      <c r="A118" s="3" t="s">
        <v>313</v>
      </c>
      <c r="B118" s="3" t="s">
        <v>314</v>
      </c>
      <c r="C118" s="3" t="s">
        <v>315</v>
      </c>
      <c r="D118" s="2" t="n">
        <v>46104</v>
      </c>
      <c r="E118" s="3" t="s">
        <v>260</v>
      </c>
      <c r="F118" s="3" t="s">
        <v>284</v>
      </c>
      <c r="G118" s="3" t="n">
        <v>6</v>
      </c>
      <c r="H118" s="3" t="n">
        <v>6.7</v>
      </c>
      <c r="I118" s="3" t="n">
        <v>0</v>
      </c>
      <c r="J118" s="4" t="n">
        <v>13</v>
      </c>
      <c r="K118" s="4" t="n">
        <f aca="false">IF(H118&gt;8,8,H118)*J118</f>
        <v>87.1</v>
      </c>
      <c r="L118" s="4" t="n">
        <f aca="false">I118*J118*1.5</f>
        <v>0</v>
      </c>
      <c r="M118" s="4" t="n">
        <f aca="false">K118+L118</f>
        <v>87.1</v>
      </c>
    </row>
    <row r="119" customFormat="false" ht="15" hidden="false" customHeight="false" outlineLevel="0" collapsed="false">
      <c r="A119" s="3" t="s">
        <v>313</v>
      </c>
      <c r="B119" s="3" t="s">
        <v>314</v>
      </c>
      <c r="C119" s="3" t="s">
        <v>315</v>
      </c>
      <c r="D119" s="2" t="n">
        <v>46105</v>
      </c>
      <c r="E119" s="3" t="s">
        <v>179</v>
      </c>
      <c r="F119" s="3" t="s">
        <v>323</v>
      </c>
      <c r="G119" s="3" t="n">
        <v>7</v>
      </c>
      <c r="H119" s="3" t="n">
        <v>7.5</v>
      </c>
      <c r="I119" s="3" t="n">
        <v>0</v>
      </c>
      <c r="J119" s="4" t="n">
        <v>13</v>
      </c>
      <c r="K119" s="4" t="n">
        <f aca="false">IF(H119&gt;8,8,H119)*J119</f>
        <v>97.5</v>
      </c>
      <c r="L119" s="4" t="n">
        <f aca="false">I119*J119*1.5</f>
        <v>0</v>
      </c>
      <c r="M119" s="4" t="n">
        <f aca="false">K119+L119</f>
        <v>97.5</v>
      </c>
    </row>
    <row r="120" customFormat="false" ht="15" hidden="false" customHeight="false" outlineLevel="0" collapsed="false">
      <c r="A120" s="3" t="s">
        <v>313</v>
      </c>
      <c r="B120" s="3" t="s">
        <v>314</v>
      </c>
      <c r="C120" s="3" t="s">
        <v>315</v>
      </c>
      <c r="D120" s="2" t="n">
        <v>46106</v>
      </c>
      <c r="E120" s="3" t="s">
        <v>166</v>
      </c>
      <c r="F120" s="3" t="s">
        <v>249</v>
      </c>
      <c r="G120" s="3" t="n">
        <v>7</v>
      </c>
      <c r="H120" s="3" t="n">
        <v>6.9</v>
      </c>
      <c r="I120" s="3" t="n">
        <v>0</v>
      </c>
      <c r="J120" s="4" t="n">
        <v>13</v>
      </c>
      <c r="K120" s="4" t="n">
        <f aca="false">IF(H120&gt;8,8,H120)*J120</f>
        <v>89.7</v>
      </c>
      <c r="L120" s="4" t="n">
        <f aca="false">I120*J120*1.5</f>
        <v>0</v>
      </c>
      <c r="M120" s="4" t="n">
        <f aca="false">K120+L120</f>
        <v>89.7</v>
      </c>
    </row>
    <row r="121" customFormat="false" ht="15" hidden="false" customHeight="false" outlineLevel="0" collapsed="false">
      <c r="A121" s="3" t="s">
        <v>313</v>
      </c>
      <c r="B121" s="3" t="s">
        <v>314</v>
      </c>
      <c r="C121" s="3" t="s">
        <v>315</v>
      </c>
      <c r="D121" s="2" t="n">
        <v>46107</v>
      </c>
      <c r="E121" s="3" t="s">
        <v>260</v>
      </c>
      <c r="F121" s="3" t="s">
        <v>306</v>
      </c>
      <c r="G121" s="3" t="n">
        <v>6</v>
      </c>
      <c r="H121" s="3" t="n">
        <v>6.1</v>
      </c>
      <c r="I121" s="3" t="n">
        <v>0</v>
      </c>
      <c r="J121" s="4" t="n">
        <v>13</v>
      </c>
      <c r="K121" s="4" t="n">
        <f aca="false">IF(H121&gt;8,8,H121)*J121</f>
        <v>79.3</v>
      </c>
      <c r="L121" s="4" t="n">
        <f aca="false">I121*J121*1.5</f>
        <v>0</v>
      </c>
      <c r="M121" s="4" t="n">
        <f aca="false">K121+L121</f>
        <v>79.3</v>
      </c>
    </row>
    <row r="122" customFormat="false" ht="15" hidden="false" customHeight="false" outlineLevel="0" collapsed="false">
      <c r="A122" s="3" t="s">
        <v>313</v>
      </c>
      <c r="B122" s="3" t="s">
        <v>314</v>
      </c>
      <c r="C122" s="3" t="s">
        <v>315</v>
      </c>
      <c r="D122" s="2" t="n">
        <v>46108</v>
      </c>
      <c r="E122" s="3" t="s">
        <v>72</v>
      </c>
      <c r="F122" s="3" t="s">
        <v>302</v>
      </c>
      <c r="G122" s="3" t="n">
        <v>8</v>
      </c>
      <c r="H122" s="3" t="n">
        <v>8.7</v>
      </c>
      <c r="I122" s="3" t="n">
        <v>0.7</v>
      </c>
      <c r="J122" s="4" t="n">
        <v>13</v>
      </c>
      <c r="K122" s="4" t="n">
        <f aca="false">IF(H122&gt;8,8,H122)*J122</f>
        <v>104</v>
      </c>
      <c r="L122" s="4" t="n">
        <f aca="false">I122*J122*1.5</f>
        <v>13.65</v>
      </c>
      <c r="M122" s="4" t="n">
        <f aca="false">K122+L122</f>
        <v>117.65</v>
      </c>
    </row>
    <row r="123" customFormat="false" ht="15" hidden="false" customHeight="false" outlineLevel="0" collapsed="false">
      <c r="A123" s="3" t="s">
        <v>313</v>
      </c>
      <c r="B123" s="3" t="s">
        <v>314</v>
      </c>
      <c r="C123" s="3" t="s">
        <v>315</v>
      </c>
      <c r="D123" s="2" t="n">
        <v>46110</v>
      </c>
      <c r="E123" s="3" t="s">
        <v>54</v>
      </c>
      <c r="F123" s="3" t="s">
        <v>262</v>
      </c>
      <c r="G123" s="3" t="n">
        <v>7</v>
      </c>
      <c r="H123" s="3" t="n">
        <v>6.9</v>
      </c>
      <c r="I123" s="3" t="n">
        <v>0</v>
      </c>
      <c r="J123" s="4" t="n">
        <v>13</v>
      </c>
      <c r="K123" s="4" t="n">
        <f aca="false">IF(H123&gt;8,8,H123)*J123</f>
        <v>89.7</v>
      </c>
      <c r="L123" s="4" t="n">
        <f aca="false">I123*J123*1.5</f>
        <v>0</v>
      </c>
      <c r="M123" s="4" t="n">
        <f aca="false">K123+L123</f>
        <v>89.7</v>
      </c>
    </row>
    <row r="124" customFormat="false" ht="15" hidden="false" customHeight="false" outlineLevel="0" collapsed="false">
      <c r="A124" s="3" t="s">
        <v>313</v>
      </c>
      <c r="B124" s="3" t="s">
        <v>314</v>
      </c>
      <c r="C124" s="3" t="s">
        <v>315</v>
      </c>
      <c r="D124" s="2" t="n">
        <v>46112</v>
      </c>
      <c r="E124" s="3" t="s">
        <v>255</v>
      </c>
      <c r="F124" s="3" t="s">
        <v>324</v>
      </c>
      <c r="G124" s="3" t="n">
        <v>8</v>
      </c>
      <c r="H124" s="3" t="n">
        <v>8.4</v>
      </c>
      <c r="I124" s="3" t="n">
        <v>0.4</v>
      </c>
      <c r="J124" s="4" t="n">
        <v>13</v>
      </c>
      <c r="K124" s="4" t="n">
        <f aca="false">IF(H124&gt;8,8,H124)*J124</f>
        <v>104</v>
      </c>
      <c r="L124" s="4" t="n">
        <f aca="false">I124*J124*1.5</f>
        <v>7.8</v>
      </c>
      <c r="M124" s="4" t="n">
        <f aca="false">K124+L124</f>
        <v>111.8</v>
      </c>
    </row>
    <row r="125" customFormat="false" ht="15" hidden="false" customHeight="false" outlineLevel="0" collapsed="false">
      <c r="A125" s="3" t="s">
        <v>325</v>
      </c>
      <c r="B125" s="3" t="s">
        <v>326</v>
      </c>
      <c r="C125" s="3" t="s">
        <v>327</v>
      </c>
      <c r="D125" s="2" t="n">
        <v>46082</v>
      </c>
      <c r="E125" s="3" t="s">
        <v>328</v>
      </c>
      <c r="F125" s="3" t="s">
        <v>329</v>
      </c>
      <c r="G125" s="3" t="n">
        <v>6</v>
      </c>
      <c r="H125" s="3" t="n">
        <v>5.7</v>
      </c>
      <c r="I125" s="3" t="n">
        <v>0</v>
      </c>
      <c r="J125" s="4" t="n">
        <v>16.75</v>
      </c>
      <c r="K125" s="4" t="n">
        <f aca="false">IF(H125&gt;8,8,H125)*J125</f>
        <v>95.475</v>
      </c>
      <c r="L125" s="4" t="n">
        <f aca="false">I125*J125*1.5</f>
        <v>0</v>
      </c>
      <c r="M125" s="4" t="n">
        <f aca="false">K125+L125</f>
        <v>95.475</v>
      </c>
    </row>
    <row r="126" customFormat="false" ht="15" hidden="false" customHeight="false" outlineLevel="0" collapsed="false">
      <c r="A126" s="3" t="s">
        <v>325</v>
      </c>
      <c r="B126" s="3" t="s">
        <v>326</v>
      </c>
      <c r="C126" s="3" t="s">
        <v>327</v>
      </c>
      <c r="D126" s="2" t="n">
        <v>46083</v>
      </c>
      <c r="E126" s="3" t="s">
        <v>271</v>
      </c>
      <c r="F126" s="3" t="s">
        <v>317</v>
      </c>
      <c r="G126" s="3" t="n">
        <v>6</v>
      </c>
      <c r="H126" s="3" t="n">
        <v>6.6</v>
      </c>
      <c r="I126" s="3" t="n">
        <v>0</v>
      </c>
      <c r="J126" s="4" t="n">
        <v>16.75</v>
      </c>
      <c r="K126" s="4" t="n">
        <f aca="false">IF(H126&gt;8,8,H126)*J126</f>
        <v>110.55</v>
      </c>
      <c r="L126" s="4" t="n">
        <f aca="false">I126*J126*1.5</f>
        <v>0</v>
      </c>
      <c r="M126" s="4" t="n">
        <f aca="false">K126+L126</f>
        <v>110.55</v>
      </c>
    </row>
    <row r="127" customFormat="false" ht="15" hidden="false" customHeight="false" outlineLevel="0" collapsed="false">
      <c r="A127" s="3" t="s">
        <v>325</v>
      </c>
      <c r="B127" s="3" t="s">
        <v>326</v>
      </c>
      <c r="C127" s="3" t="s">
        <v>327</v>
      </c>
      <c r="D127" s="2" t="n">
        <v>46085</v>
      </c>
      <c r="E127" s="3" t="s">
        <v>116</v>
      </c>
      <c r="F127" s="3" t="s">
        <v>278</v>
      </c>
      <c r="G127" s="3" t="n">
        <v>8</v>
      </c>
      <c r="H127" s="3" t="n">
        <v>2.7</v>
      </c>
      <c r="I127" s="3" t="n">
        <v>0</v>
      </c>
      <c r="J127" s="4" t="n">
        <v>16.75</v>
      </c>
      <c r="K127" s="4" t="n">
        <f aca="false">IF(H127&gt;8,8,H127)*J127</f>
        <v>45.225</v>
      </c>
      <c r="L127" s="4" t="n">
        <f aca="false">I127*J127*1.5</f>
        <v>0</v>
      </c>
      <c r="M127" s="4" t="n">
        <f aca="false">K127+L127</f>
        <v>45.225</v>
      </c>
    </row>
    <row r="128" customFormat="false" ht="15" hidden="false" customHeight="false" outlineLevel="0" collapsed="false">
      <c r="A128" s="3" t="s">
        <v>325</v>
      </c>
      <c r="B128" s="3" t="s">
        <v>326</v>
      </c>
      <c r="C128" s="3" t="s">
        <v>327</v>
      </c>
      <c r="D128" s="2" t="n">
        <v>46086</v>
      </c>
      <c r="E128" s="3" t="s">
        <v>330</v>
      </c>
      <c r="F128" s="3" t="s">
        <v>319</v>
      </c>
      <c r="G128" s="3" t="n">
        <v>7</v>
      </c>
      <c r="H128" s="3" t="n">
        <v>6.9</v>
      </c>
      <c r="I128" s="3" t="n">
        <v>0</v>
      </c>
      <c r="J128" s="4" t="n">
        <v>16.75</v>
      </c>
      <c r="K128" s="4" t="n">
        <f aca="false">IF(H128&gt;8,8,H128)*J128</f>
        <v>115.575</v>
      </c>
      <c r="L128" s="4" t="n">
        <f aca="false">I128*J128*1.5</f>
        <v>0</v>
      </c>
      <c r="M128" s="4" t="n">
        <f aca="false">K128+L128</f>
        <v>115.575</v>
      </c>
    </row>
    <row r="129" customFormat="false" ht="15" hidden="false" customHeight="false" outlineLevel="0" collapsed="false">
      <c r="A129" s="3" t="s">
        <v>325</v>
      </c>
      <c r="B129" s="3" t="s">
        <v>326</v>
      </c>
      <c r="C129" s="3" t="s">
        <v>327</v>
      </c>
      <c r="D129" s="2" t="n">
        <v>46088</v>
      </c>
      <c r="E129" s="3" t="s">
        <v>331</v>
      </c>
      <c r="F129" s="3" t="s">
        <v>116</v>
      </c>
      <c r="G129" s="3" t="n">
        <v>7</v>
      </c>
      <c r="H129" s="3" t="n">
        <v>7</v>
      </c>
      <c r="I129" s="3" t="n">
        <v>0</v>
      </c>
      <c r="J129" s="4" t="n">
        <v>16.75</v>
      </c>
      <c r="K129" s="4" t="n">
        <f aca="false">IF(H129&gt;8,8,H129)*J129</f>
        <v>117.25</v>
      </c>
      <c r="L129" s="4" t="n">
        <f aca="false">I129*J129*1.5</f>
        <v>0</v>
      </c>
      <c r="M129" s="4" t="n">
        <f aca="false">K129+L129</f>
        <v>117.25</v>
      </c>
    </row>
    <row r="130" customFormat="false" ht="15" hidden="false" customHeight="false" outlineLevel="0" collapsed="false">
      <c r="A130" s="3" t="s">
        <v>325</v>
      </c>
      <c r="B130" s="3" t="s">
        <v>326</v>
      </c>
      <c r="C130" s="3" t="s">
        <v>327</v>
      </c>
      <c r="D130" s="2" t="n">
        <v>46089</v>
      </c>
      <c r="E130" s="3" t="s">
        <v>332</v>
      </c>
      <c r="F130" s="3" t="s">
        <v>333</v>
      </c>
      <c r="G130" s="3" t="n">
        <v>8</v>
      </c>
      <c r="H130" s="3" t="n">
        <v>8.2</v>
      </c>
      <c r="I130" s="3" t="n">
        <v>0.2</v>
      </c>
      <c r="J130" s="4" t="n">
        <v>16.75</v>
      </c>
      <c r="K130" s="4" t="n">
        <f aca="false">IF(H130&gt;8,8,H130)*J130</f>
        <v>134</v>
      </c>
      <c r="L130" s="4" t="n">
        <f aca="false">I130*J130*1.5</f>
        <v>5.025</v>
      </c>
      <c r="M130" s="4" t="n">
        <f aca="false">K130+L130</f>
        <v>139.025</v>
      </c>
    </row>
    <row r="131" customFormat="false" ht="15" hidden="false" customHeight="false" outlineLevel="0" collapsed="false">
      <c r="A131" s="3" t="s">
        <v>325</v>
      </c>
      <c r="B131" s="3" t="s">
        <v>326</v>
      </c>
      <c r="C131" s="3" t="s">
        <v>327</v>
      </c>
      <c r="D131" s="2" t="n">
        <v>46091</v>
      </c>
      <c r="E131" s="3" t="s">
        <v>328</v>
      </c>
      <c r="F131" s="3" t="s">
        <v>268</v>
      </c>
      <c r="G131" s="3" t="n">
        <v>8</v>
      </c>
      <c r="H131" s="3" t="n">
        <v>7.9</v>
      </c>
      <c r="I131" s="3" t="n">
        <v>0</v>
      </c>
      <c r="J131" s="4" t="n">
        <v>16.75</v>
      </c>
      <c r="K131" s="4" t="n">
        <f aca="false">IF(H131&gt;8,8,H131)*J131</f>
        <v>132.325</v>
      </c>
      <c r="L131" s="4" t="n">
        <f aca="false">I131*J131*1.5</f>
        <v>0</v>
      </c>
      <c r="M131" s="4" t="n">
        <f aca="false">K131+L131</f>
        <v>132.325</v>
      </c>
    </row>
    <row r="132" customFormat="false" ht="15" hidden="false" customHeight="false" outlineLevel="0" collapsed="false">
      <c r="A132" s="3" t="s">
        <v>325</v>
      </c>
      <c r="B132" s="3" t="s">
        <v>326</v>
      </c>
      <c r="C132" s="3" t="s">
        <v>327</v>
      </c>
      <c r="D132" s="2" t="n">
        <v>46092</v>
      </c>
      <c r="E132" s="3" t="s">
        <v>330</v>
      </c>
      <c r="F132" s="3" t="s">
        <v>334</v>
      </c>
      <c r="G132" s="3" t="n">
        <v>8</v>
      </c>
      <c r="H132" s="3" t="n">
        <v>8.3</v>
      </c>
      <c r="I132" s="3" t="n">
        <v>0.3</v>
      </c>
      <c r="J132" s="4" t="n">
        <v>16.75</v>
      </c>
      <c r="K132" s="4" t="n">
        <f aca="false">IF(H132&gt;8,8,H132)*J132</f>
        <v>134</v>
      </c>
      <c r="L132" s="4" t="n">
        <f aca="false">I132*J132*1.5</f>
        <v>7.5375</v>
      </c>
      <c r="M132" s="4" t="n">
        <f aca="false">K132+L132</f>
        <v>141.5375</v>
      </c>
    </row>
    <row r="133" customFormat="false" ht="15" hidden="false" customHeight="false" outlineLevel="0" collapsed="false">
      <c r="A133" s="3" t="s">
        <v>325</v>
      </c>
      <c r="B133" s="3" t="s">
        <v>326</v>
      </c>
      <c r="C133" s="3" t="s">
        <v>327</v>
      </c>
      <c r="D133" s="2" t="n">
        <v>46093</v>
      </c>
      <c r="E133" s="3" t="s">
        <v>335</v>
      </c>
      <c r="F133" s="3" t="s">
        <v>336</v>
      </c>
      <c r="G133" s="3" t="n">
        <v>8</v>
      </c>
      <c r="H133" s="3" t="n">
        <v>9.3</v>
      </c>
      <c r="I133" s="3" t="n">
        <v>1.3</v>
      </c>
      <c r="J133" s="4" t="n">
        <v>16.75</v>
      </c>
      <c r="K133" s="4" t="n">
        <f aca="false">IF(H133&gt;8,8,H133)*J133</f>
        <v>134</v>
      </c>
      <c r="L133" s="4" t="n">
        <f aca="false">I133*J133*1.5</f>
        <v>32.6625</v>
      </c>
      <c r="M133" s="4" t="n">
        <f aca="false">K133+L133</f>
        <v>166.6625</v>
      </c>
    </row>
    <row r="134" customFormat="false" ht="15" hidden="false" customHeight="false" outlineLevel="0" collapsed="false">
      <c r="A134" s="3" t="s">
        <v>325</v>
      </c>
      <c r="B134" s="3" t="s">
        <v>326</v>
      </c>
      <c r="C134" s="3" t="s">
        <v>327</v>
      </c>
      <c r="D134" s="2" t="n">
        <v>46097</v>
      </c>
      <c r="E134" s="3" t="s">
        <v>330</v>
      </c>
      <c r="F134" s="3" t="s">
        <v>337</v>
      </c>
      <c r="G134" s="3" t="n">
        <v>6</v>
      </c>
      <c r="H134" s="3" t="n">
        <v>7.2</v>
      </c>
      <c r="I134" s="3" t="n">
        <v>0</v>
      </c>
      <c r="J134" s="4" t="n">
        <v>16.75</v>
      </c>
      <c r="K134" s="4" t="n">
        <f aca="false">IF(H134&gt;8,8,H134)*J134</f>
        <v>120.6</v>
      </c>
      <c r="L134" s="4" t="n">
        <f aca="false">I134*J134*1.5</f>
        <v>0</v>
      </c>
      <c r="M134" s="4" t="n">
        <f aca="false">K134+L134</f>
        <v>120.6</v>
      </c>
    </row>
    <row r="135" customFormat="false" ht="15" hidden="false" customHeight="false" outlineLevel="0" collapsed="false">
      <c r="A135" s="3" t="s">
        <v>325</v>
      </c>
      <c r="B135" s="3" t="s">
        <v>326</v>
      </c>
      <c r="C135" s="3" t="s">
        <v>327</v>
      </c>
      <c r="D135" s="2" t="n">
        <v>46098</v>
      </c>
      <c r="E135" s="3" t="s">
        <v>255</v>
      </c>
      <c r="F135" s="3" t="s">
        <v>317</v>
      </c>
      <c r="G135" s="3" t="n">
        <v>7</v>
      </c>
      <c r="H135" s="3" t="n">
        <v>6.6</v>
      </c>
      <c r="I135" s="3" t="n">
        <v>0</v>
      </c>
      <c r="J135" s="4" t="n">
        <v>16.75</v>
      </c>
      <c r="K135" s="4" t="n">
        <f aca="false">IF(H135&gt;8,8,H135)*J135</f>
        <v>110.55</v>
      </c>
      <c r="L135" s="4" t="n">
        <f aca="false">I135*J135*1.5</f>
        <v>0</v>
      </c>
      <c r="M135" s="4" t="n">
        <f aca="false">K135+L135</f>
        <v>110.55</v>
      </c>
    </row>
    <row r="136" customFormat="false" ht="15" hidden="false" customHeight="false" outlineLevel="0" collapsed="false">
      <c r="A136" s="3" t="s">
        <v>325</v>
      </c>
      <c r="B136" s="3" t="s">
        <v>326</v>
      </c>
      <c r="C136" s="3" t="s">
        <v>327</v>
      </c>
      <c r="D136" s="2" t="n">
        <v>46099</v>
      </c>
      <c r="E136" s="3" t="s">
        <v>192</v>
      </c>
      <c r="F136" s="3" t="s">
        <v>338</v>
      </c>
      <c r="G136" s="3" t="n">
        <v>8</v>
      </c>
      <c r="H136" s="3" t="n">
        <v>3.4</v>
      </c>
      <c r="I136" s="3" t="n">
        <v>0</v>
      </c>
      <c r="J136" s="4" t="n">
        <v>16.75</v>
      </c>
      <c r="K136" s="4" t="n">
        <f aca="false">IF(H136&gt;8,8,H136)*J136</f>
        <v>56.95</v>
      </c>
      <c r="L136" s="4" t="n">
        <f aca="false">I136*J136*1.5</f>
        <v>0</v>
      </c>
      <c r="M136" s="4" t="n">
        <f aca="false">K136+L136</f>
        <v>56.95</v>
      </c>
    </row>
    <row r="137" customFormat="false" ht="15" hidden="false" customHeight="false" outlineLevel="0" collapsed="false">
      <c r="A137" s="3" t="s">
        <v>325</v>
      </c>
      <c r="B137" s="3" t="s">
        <v>326</v>
      </c>
      <c r="C137" s="3" t="s">
        <v>327</v>
      </c>
      <c r="D137" s="2" t="n">
        <v>46100</v>
      </c>
      <c r="E137" s="3" t="s">
        <v>339</v>
      </c>
      <c r="F137" s="3" t="s">
        <v>329</v>
      </c>
      <c r="G137" s="3" t="n">
        <v>7</v>
      </c>
      <c r="H137" s="3" t="n">
        <v>6.7</v>
      </c>
      <c r="I137" s="3" t="n">
        <v>0</v>
      </c>
      <c r="J137" s="4" t="n">
        <v>16.75</v>
      </c>
      <c r="K137" s="4" t="n">
        <f aca="false">IF(H137&gt;8,8,H137)*J137</f>
        <v>112.225</v>
      </c>
      <c r="L137" s="4" t="n">
        <f aca="false">I137*J137*1.5</f>
        <v>0</v>
      </c>
      <c r="M137" s="4" t="n">
        <f aca="false">K137+L137</f>
        <v>112.225</v>
      </c>
    </row>
    <row r="138" customFormat="false" ht="15" hidden="false" customHeight="false" outlineLevel="0" collapsed="false">
      <c r="A138" s="3" t="s">
        <v>325</v>
      </c>
      <c r="B138" s="3" t="s">
        <v>326</v>
      </c>
      <c r="C138" s="3" t="s">
        <v>327</v>
      </c>
      <c r="D138" s="2" t="n">
        <v>46101</v>
      </c>
      <c r="E138" s="3" t="s">
        <v>332</v>
      </c>
      <c r="F138" s="3" t="s">
        <v>333</v>
      </c>
      <c r="G138" s="3" t="n">
        <v>7</v>
      </c>
      <c r="H138" s="3" t="n">
        <v>8.2</v>
      </c>
      <c r="I138" s="3" t="n">
        <v>0.2</v>
      </c>
      <c r="J138" s="4" t="n">
        <v>16.75</v>
      </c>
      <c r="K138" s="4" t="n">
        <f aca="false">IF(H138&gt;8,8,H138)*J138</f>
        <v>134</v>
      </c>
      <c r="L138" s="4" t="n">
        <f aca="false">I138*J138*1.5</f>
        <v>5.025</v>
      </c>
      <c r="M138" s="4" t="n">
        <f aca="false">K138+L138</f>
        <v>139.025</v>
      </c>
    </row>
    <row r="139" customFormat="false" ht="15" hidden="false" customHeight="false" outlineLevel="0" collapsed="false">
      <c r="A139" s="3" t="s">
        <v>325</v>
      </c>
      <c r="B139" s="3" t="s">
        <v>326</v>
      </c>
      <c r="C139" s="3" t="s">
        <v>327</v>
      </c>
      <c r="D139" s="2" t="n">
        <v>46103</v>
      </c>
      <c r="E139" s="3" t="s">
        <v>330</v>
      </c>
      <c r="F139" s="3" t="s">
        <v>317</v>
      </c>
      <c r="G139" s="3" t="n">
        <v>7</v>
      </c>
      <c r="H139" s="3" t="n">
        <v>7.6</v>
      </c>
      <c r="I139" s="3" t="n">
        <v>0</v>
      </c>
      <c r="J139" s="4" t="n">
        <v>16.75</v>
      </c>
      <c r="K139" s="4" t="n">
        <f aca="false">IF(H139&gt;8,8,H139)*J139</f>
        <v>127.3</v>
      </c>
      <c r="L139" s="4" t="n">
        <f aca="false">I139*J139*1.5</f>
        <v>0</v>
      </c>
      <c r="M139" s="4" t="n">
        <f aca="false">K139+L139</f>
        <v>127.3</v>
      </c>
    </row>
    <row r="140" customFormat="false" ht="15" hidden="false" customHeight="false" outlineLevel="0" collapsed="false">
      <c r="A140" s="3" t="s">
        <v>325</v>
      </c>
      <c r="B140" s="3" t="s">
        <v>326</v>
      </c>
      <c r="C140" s="3" t="s">
        <v>327</v>
      </c>
      <c r="D140" s="2" t="n">
        <v>46104</v>
      </c>
      <c r="E140" s="3" t="s">
        <v>332</v>
      </c>
      <c r="F140" s="3" t="s">
        <v>336</v>
      </c>
      <c r="G140" s="3" t="n">
        <v>8</v>
      </c>
      <c r="H140" s="3" t="n">
        <v>9.3</v>
      </c>
      <c r="I140" s="3" t="n">
        <v>1.3</v>
      </c>
      <c r="J140" s="4" t="n">
        <v>16.75</v>
      </c>
      <c r="K140" s="4" t="n">
        <f aca="false">IF(H140&gt;8,8,H140)*J140</f>
        <v>134</v>
      </c>
      <c r="L140" s="4" t="n">
        <f aca="false">I140*J140*1.5</f>
        <v>32.6625</v>
      </c>
      <c r="M140" s="4" t="n">
        <f aca="false">K140+L140</f>
        <v>166.6625</v>
      </c>
    </row>
    <row r="141" customFormat="false" ht="15" hidden="false" customHeight="false" outlineLevel="0" collapsed="false">
      <c r="A141" s="3" t="s">
        <v>325</v>
      </c>
      <c r="B141" s="3" t="s">
        <v>326</v>
      </c>
      <c r="C141" s="3" t="s">
        <v>327</v>
      </c>
      <c r="D141" s="2" t="n">
        <v>46106</v>
      </c>
      <c r="E141" s="3" t="s">
        <v>332</v>
      </c>
      <c r="F141" s="3" t="s">
        <v>340</v>
      </c>
      <c r="G141" s="3" t="n">
        <v>6</v>
      </c>
      <c r="H141" s="3" t="n">
        <v>6.7</v>
      </c>
      <c r="I141" s="3" t="n">
        <v>0</v>
      </c>
      <c r="J141" s="4" t="n">
        <v>16.75</v>
      </c>
      <c r="K141" s="4" t="n">
        <f aca="false">IF(H141&gt;8,8,H141)*J141</f>
        <v>112.225</v>
      </c>
      <c r="L141" s="4" t="n">
        <f aca="false">I141*J141*1.5</f>
        <v>0</v>
      </c>
      <c r="M141" s="4" t="n">
        <f aca="false">K141+L141</f>
        <v>112.225</v>
      </c>
    </row>
    <row r="142" customFormat="false" ht="15" hidden="false" customHeight="false" outlineLevel="0" collapsed="false">
      <c r="A142" s="3" t="s">
        <v>325</v>
      </c>
      <c r="B142" s="3" t="s">
        <v>326</v>
      </c>
      <c r="C142" s="3" t="s">
        <v>327</v>
      </c>
      <c r="D142" s="2" t="n">
        <v>46107</v>
      </c>
      <c r="E142" s="3" t="s">
        <v>263</v>
      </c>
      <c r="F142" s="3" t="s">
        <v>264</v>
      </c>
      <c r="G142" s="3" t="n">
        <v>8</v>
      </c>
      <c r="H142" s="3" t="n">
        <v>8.2</v>
      </c>
      <c r="I142" s="3" t="n">
        <v>0.2</v>
      </c>
      <c r="J142" s="4" t="n">
        <v>16.75</v>
      </c>
      <c r="K142" s="4" t="n">
        <f aca="false">IF(H142&gt;8,8,H142)*J142</f>
        <v>134</v>
      </c>
      <c r="L142" s="4" t="n">
        <f aca="false">I142*J142*1.5</f>
        <v>5.025</v>
      </c>
      <c r="M142" s="4" t="n">
        <f aca="false">K142+L142</f>
        <v>139.025</v>
      </c>
    </row>
    <row r="143" customFormat="false" ht="15" hidden="false" customHeight="false" outlineLevel="0" collapsed="false">
      <c r="A143" s="3" t="s">
        <v>325</v>
      </c>
      <c r="B143" s="3" t="s">
        <v>326</v>
      </c>
      <c r="C143" s="3" t="s">
        <v>327</v>
      </c>
      <c r="D143" s="2" t="n">
        <v>46110</v>
      </c>
      <c r="E143" s="3" t="s">
        <v>271</v>
      </c>
      <c r="F143" s="3" t="s">
        <v>341</v>
      </c>
      <c r="G143" s="3" t="n">
        <v>8</v>
      </c>
      <c r="H143" s="3" t="n">
        <v>8.8</v>
      </c>
      <c r="I143" s="3" t="n">
        <v>0.8</v>
      </c>
      <c r="J143" s="4" t="n">
        <v>16.75</v>
      </c>
      <c r="K143" s="4" t="n">
        <f aca="false">IF(H143&gt;8,8,H143)*J143</f>
        <v>134</v>
      </c>
      <c r="L143" s="4" t="n">
        <f aca="false">I143*J143*1.5</f>
        <v>20.1</v>
      </c>
      <c r="M143" s="4" t="n">
        <f aca="false">K143+L143</f>
        <v>154.1</v>
      </c>
    </row>
    <row r="144" customFormat="false" ht="15" hidden="false" customHeight="false" outlineLevel="0" collapsed="false">
      <c r="A144" s="3" t="s">
        <v>325</v>
      </c>
      <c r="B144" s="3" t="s">
        <v>326</v>
      </c>
      <c r="C144" s="3" t="s">
        <v>327</v>
      </c>
      <c r="D144" s="2" t="n">
        <v>46111</v>
      </c>
      <c r="E144" s="3" t="s">
        <v>271</v>
      </c>
      <c r="F144" s="3" t="s">
        <v>270</v>
      </c>
      <c r="G144" s="3" t="n">
        <v>7</v>
      </c>
      <c r="H144" s="3" t="n">
        <v>7.4</v>
      </c>
      <c r="I144" s="3" t="n">
        <v>0</v>
      </c>
      <c r="J144" s="4" t="n">
        <v>16.75</v>
      </c>
      <c r="K144" s="4" t="n">
        <f aca="false">IF(H144&gt;8,8,H144)*J144</f>
        <v>123.95</v>
      </c>
      <c r="L144" s="4" t="n">
        <f aca="false">I144*J144*1.5</f>
        <v>0</v>
      </c>
      <c r="M144" s="4" t="n">
        <f aca="false">K144+L144</f>
        <v>123.95</v>
      </c>
    </row>
    <row r="145" customFormat="false" ht="15" hidden="false" customHeight="false" outlineLevel="0" collapsed="false">
      <c r="A145" s="3" t="s">
        <v>342</v>
      </c>
      <c r="B145" s="3" t="s">
        <v>343</v>
      </c>
      <c r="C145" s="3" t="s">
        <v>327</v>
      </c>
      <c r="D145" s="2" t="n">
        <v>46082</v>
      </c>
      <c r="E145" s="3" t="s">
        <v>332</v>
      </c>
      <c r="F145" s="3" t="s">
        <v>344</v>
      </c>
      <c r="G145" s="3" t="n">
        <v>7</v>
      </c>
      <c r="H145" s="3" t="n">
        <v>8.4</v>
      </c>
      <c r="I145" s="3" t="n">
        <v>0.4</v>
      </c>
      <c r="J145" s="4" t="n">
        <v>16.75</v>
      </c>
      <c r="K145" s="4" t="n">
        <f aca="false">IF(H145&gt;8,8,H145)*J145</f>
        <v>134</v>
      </c>
      <c r="L145" s="4" t="n">
        <f aca="false">I145*J145*1.5</f>
        <v>10.05</v>
      </c>
      <c r="M145" s="4" t="n">
        <f aca="false">K145+L145</f>
        <v>144.05</v>
      </c>
    </row>
    <row r="146" customFormat="false" ht="15" hidden="false" customHeight="false" outlineLevel="0" collapsed="false">
      <c r="A146" s="3" t="s">
        <v>342</v>
      </c>
      <c r="B146" s="3" t="s">
        <v>343</v>
      </c>
      <c r="C146" s="3" t="s">
        <v>327</v>
      </c>
      <c r="D146" s="2" t="n">
        <v>46083</v>
      </c>
      <c r="E146" s="3" t="s">
        <v>345</v>
      </c>
      <c r="F146" s="3" t="s">
        <v>346</v>
      </c>
      <c r="G146" s="3" t="n">
        <v>8</v>
      </c>
      <c r="H146" s="3" t="n">
        <v>8.7</v>
      </c>
      <c r="I146" s="3" t="n">
        <v>0.7</v>
      </c>
      <c r="J146" s="4" t="n">
        <v>16.75</v>
      </c>
      <c r="K146" s="4" t="n">
        <f aca="false">IF(H146&gt;8,8,H146)*J146</f>
        <v>134</v>
      </c>
      <c r="L146" s="4" t="n">
        <f aca="false">I146*J146*1.5</f>
        <v>17.5875</v>
      </c>
      <c r="M146" s="4" t="n">
        <f aca="false">K146+L146</f>
        <v>151.5875</v>
      </c>
    </row>
    <row r="147" customFormat="false" ht="15" hidden="false" customHeight="false" outlineLevel="0" collapsed="false">
      <c r="A147" s="3" t="s">
        <v>342</v>
      </c>
      <c r="B147" s="3" t="s">
        <v>343</v>
      </c>
      <c r="C147" s="3" t="s">
        <v>327</v>
      </c>
      <c r="D147" s="2" t="n">
        <v>46084</v>
      </c>
      <c r="E147" s="3" t="s">
        <v>335</v>
      </c>
      <c r="F147" s="3" t="s">
        <v>329</v>
      </c>
      <c r="G147" s="3" t="n">
        <v>7</v>
      </c>
      <c r="H147" s="3" t="n">
        <v>7.7</v>
      </c>
      <c r="I147" s="3" t="n">
        <v>0</v>
      </c>
      <c r="J147" s="4" t="n">
        <v>16.75</v>
      </c>
      <c r="K147" s="4" t="n">
        <f aca="false">IF(H147&gt;8,8,H147)*J147</f>
        <v>128.975</v>
      </c>
      <c r="L147" s="4" t="n">
        <f aca="false">I147*J147*1.5</f>
        <v>0</v>
      </c>
      <c r="M147" s="4" t="n">
        <f aca="false">K147+L147</f>
        <v>128.975</v>
      </c>
    </row>
    <row r="148" customFormat="false" ht="15" hidden="false" customHeight="false" outlineLevel="0" collapsed="false">
      <c r="A148" s="3" t="s">
        <v>342</v>
      </c>
      <c r="B148" s="3" t="s">
        <v>343</v>
      </c>
      <c r="C148" s="3" t="s">
        <v>327</v>
      </c>
      <c r="D148" s="2" t="n">
        <v>46085</v>
      </c>
      <c r="E148" s="3" t="s">
        <v>339</v>
      </c>
      <c r="F148" s="3" t="s">
        <v>340</v>
      </c>
      <c r="G148" s="3" t="n">
        <v>6</v>
      </c>
      <c r="H148" s="3" t="n">
        <v>5.7</v>
      </c>
      <c r="I148" s="3" t="n">
        <v>0</v>
      </c>
      <c r="J148" s="4" t="n">
        <v>16.75</v>
      </c>
      <c r="K148" s="4" t="n">
        <f aca="false">IF(H148&gt;8,8,H148)*J148</f>
        <v>95.475</v>
      </c>
      <c r="L148" s="4" t="n">
        <f aca="false">I148*J148*1.5</f>
        <v>0</v>
      </c>
      <c r="M148" s="4" t="n">
        <f aca="false">K148+L148</f>
        <v>95.475</v>
      </c>
    </row>
    <row r="149" customFormat="false" ht="15" hidden="false" customHeight="false" outlineLevel="0" collapsed="false">
      <c r="A149" s="3" t="s">
        <v>342</v>
      </c>
      <c r="B149" s="3" t="s">
        <v>343</v>
      </c>
      <c r="C149" s="3" t="s">
        <v>327</v>
      </c>
      <c r="D149" s="2" t="n">
        <v>46086</v>
      </c>
      <c r="E149" s="3" t="s">
        <v>263</v>
      </c>
      <c r="F149" s="3" t="s">
        <v>54</v>
      </c>
      <c r="G149" s="3" t="n">
        <v>6</v>
      </c>
      <c r="H149" s="3" t="n">
        <v>7</v>
      </c>
      <c r="I149" s="3" t="n">
        <v>0</v>
      </c>
      <c r="J149" s="4" t="n">
        <v>16.75</v>
      </c>
      <c r="K149" s="4" t="n">
        <f aca="false">IF(H149&gt;8,8,H149)*J149</f>
        <v>117.25</v>
      </c>
      <c r="L149" s="4" t="n">
        <f aca="false">I149*J149*1.5</f>
        <v>0</v>
      </c>
      <c r="M149" s="4" t="n">
        <f aca="false">K149+L149</f>
        <v>117.25</v>
      </c>
    </row>
    <row r="150" customFormat="false" ht="15" hidden="false" customHeight="false" outlineLevel="0" collapsed="false">
      <c r="A150" s="3" t="s">
        <v>342</v>
      </c>
      <c r="B150" s="3" t="s">
        <v>343</v>
      </c>
      <c r="C150" s="3" t="s">
        <v>327</v>
      </c>
      <c r="D150" s="2" t="n">
        <v>46087</v>
      </c>
      <c r="E150" s="3" t="s">
        <v>255</v>
      </c>
      <c r="F150" s="3" t="s">
        <v>251</v>
      </c>
      <c r="G150" s="3" t="n">
        <v>6</v>
      </c>
      <c r="H150" s="3" t="n">
        <v>7.5</v>
      </c>
      <c r="I150" s="3" t="n">
        <v>0</v>
      </c>
      <c r="J150" s="4" t="n">
        <v>16.75</v>
      </c>
      <c r="K150" s="4" t="n">
        <f aca="false">IF(H150&gt;8,8,H150)*J150</f>
        <v>125.625</v>
      </c>
      <c r="L150" s="4" t="n">
        <f aca="false">I150*J150*1.5</f>
        <v>0</v>
      </c>
      <c r="M150" s="4" t="n">
        <f aca="false">K150+L150</f>
        <v>125.625</v>
      </c>
    </row>
    <row r="151" customFormat="false" ht="15" hidden="false" customHeight="false" outlineLevel="0" collapsed="false">
      <c r="A151" s="3" t="s">
        <v>342</v>
      </c>
      <c r="B151" s="3" t="s">
        <v>343</v>
      </c>
      <c r="C151" s="3" t="s">
        <v>327</v>
      </c>
      <c r="D151" s="2" t="n">
        <v>46090</v>
      </c>
      <c r="E151" s="3" t="s">
        <v>347</v>
      </c>
      <c r="F151" s="3" t="s">
        <v>348</v>
      </c>
      <c r="G151" s="3" t="n">
        <v>6</v>
      </c>
      <c r="H151" s="3" t="n">
        <v>5.8</v>
      </c>
      <c r="I151" s="3" t="n">
        <v>0</v>
      </c>
      <c r="J151" s="4" t="n">
        <v>16.75</v>
      </c>
      <c r="K151" s="4" t="n">
        <f aca="false">IF(H151&gt;8,8,H151)*J151</f>
        <v>97.15</v>
      </c>
      <c r="L151" s="4" t="n">
        <f aca="false">I151*J151*1.5</f>
        <v>0</v>
      </c>
      <c r="M151" s="4" t="n">
        <f aca="false">K151+L151</f>
        <v>97.15</v>
      </c>
    </row>
    <row r="152" customFormat="false" ht="15" hidden="false" customHeight="false" outlineLevel="0" collapsed="false">
      <c r="A152" s="3" t="s">
        <v>342</v>
      </c>
      <c r="B152" s="3" t="s">
        <v>343</v>
      </c>
      <c r="C152" s="3" t="s">
        <v>327</v>
      </c>
      <c r="D152" s="2" t="n">
        <v>46091</v>
      </c>
      <c r="E152" s="3" t="s">
        <v>339</v>
      </c>
      <c r="F152" s="3" t="s">
        <v>349</v>
      </c>
      <c r="G152" s="3" t="n">
        <v>6</v>
      </c>
      <c r="H152" s="3" t="n">
        <v>5.6</v>
      </c>
      <c r="I152" s="3" t="n">
        <v>0</v>
      </c>
      <c r="J152" s="4" t="n">
        <v>16.75</v>
      </c>
      <c r="K152" s="4" t="n">
        <f aca="false">IF(H152&gt;8,8,H152)*J152</f>
        <v>93.8</v>
      </c>
      <c r="L152" s="4" t="n">
        <f aca="false">I152*J152*1.5</f>
        <v>0</v>
      </c>
      <c r="M152" s="4" t="n">
        <f aca="false">K152+L152</f>
        <v>93.8</v>
      </c>
    </row>
    <row r="153" customFormat="false" ht="15" hidden="false" customHeight="false" outlineLevel="0" collapsed="false">
      <c r="A153" s="3" t="s">
        <v>342</v>
      </c>
      <c r="B153" s="3" t="s">
        <v>343</v>
      </c>
      <c r="C153" s="3" t="s">
        <v>327</v>
      </c>
      <c r="D153" s="2" t="n">
        <v>46092</v>
      </c>
      <c r="E153" s="3" t="s">
        <v>331</v>
      </c>
      <c r="F153" s="3" t="s">
        <v>350</v>
      </c>
      <c r="G153" s="3" t="n">
        <v>8</v>
      </c>
      <c r="H153" s="3" t="n">
        <v>8.7</v>
      </c>
      <c r="I153" s="3" t="n">
        <v>0.7</v>
      </c>
      <c r="J153" s="4" t="n">
        <v>16.75</v>
      </c>
      <c r="K153" s="4" t="n">
        <f aca="false">IF(H153&gt;8,8,H153)*J153</f>
        <v>134</v>
      </c>
      <c r="L153" s="4" t="n">
        <f aca="false">I153*J153*1.5</f>
        <v>17.5875</v>
      </c>
      <c r="M153" s="4" t="n">
        <f aca="false">K153+L153</f>
        <v>151.5875</v>
      </c>
    </row>
    <row r="154" customFormat="false" ht="15" hidden="false" customHeight="false" outlineLevel="0" collapsed="false">
      <c r="A154" s="3" t="s">
        <v>342</v>
      </c>
      <c r="B154" s="3" t="s">
        <v>343</v>
      </c>
      <c r="C154" s="3" t="s">
        <v>327</v>
      </c>
      <c r="D154" s="2" t="n">
        <v>46093</v>
      </c>
      <c r="E154" s="3" t="s">
        <v>332</v>
      </c>
      <c r="F154" s="3" t="s">
        <v>351</v>
      </c>
      <c r="G154" s="3" t="n">
        <v>6</v>
      </c>
      <c r="H154" s="3" t="n">
        <v>6.2</v>
      </c>
      <c r="I154" s="3" t="n">
        <v>0</v>
      </c>
      <c r="J154" s="4" t="n">
        <v>16.75</v>
      </c>
      <c r="K154" s="4" t="n">
        <f aca="false">IF(H154&gt;8,8,H154)*J154</f>
        <v>103.85</v>
      </c>
      <c r="L154" s="4" t="n">
        <f aca="false">I154*J154*1.5</f>
        <v>0</v>
      </c>
      <c r="M154" s="4" t="n">
        <f aca="false">K154+L154</f>
        <v>103.85</v>
      </c>
    </row>
    <row r="155" customFormat="false" ht="15" hidden="false" customHeight="false" outlineLevel="0" collapsed="false">
      <c r="A155" s="3" t="s">
        <v>342</v>
      </c>
      <c r="B155" s="3" t="s">
        <v>343</v>
      </c>
      <c r="C155" s="3" t="s">
        <v>327</v>
      </c>
      <c r="D155" s="2" t="n">
        <v>46094</v>
      </c>
      <c r="E155" s="3" t="s">
        <v>330</v>
      </c>
      <c r="F155" s="3" t="s">
        <v>352</v>
      </c>
      <c r="G155" s="3" t="n">
        <v>7</v>
      </c>
      <c r="H155" s="3" t="n">
        <v>6.6</v>
      </c>
      <c r="I155" s="3" t="n">
        <v>0</v>
      </c>
      <c r="J155" s="4" t="n">
        <v>16.75</v>
      </c>
      <c r="K155" s="4" t="n">
        <f aca="false">IF(H155&gt;8,8,H155)*J155</f>
        <v>110.55</v>
      </c>
      <c r="L155" s="4" t="n">
        <f aca="false">I155*J155*1.5</f>
        <v>0</v>
      </c>
      <c r="M155" s="4" t="n">
        <f aca="false">K155+L155</f>
        <v>110.55</v>
      </c>
    </row>
    <row r="156" customFormat="false" ht="15" hidden="false" customHeight="false" outlineLevel="0" collapsed="false">
      <c r="A156" s="3" t="s">
        <v>342</v>
      </c>
      <c r="B156" s="3" t="s">
        <v>343</v>
      </c>
      <c r="C156" s="3" t="s">
        <v>327</v>
      </c>
      <c r="D156" s="2" t="n">
        <v>46096</v>
      </c>
      <c r="E156" s="3" t="s">
        <v>339</v>
      </c>
      <c r="F156" s="3" t="s">
        <v>253</v>
      </c>
      <c r="G156" s="3" t="n">
        <v>8</v>
      </c>
      <c r="H156" s="3" t="n">
        <v>8</v>
      </c>
      <c r="I156" s="3" t="n">
        <v>0</v>
      </c>
      <c r="J156" s="4" t="n">
        <v>16.75</v>
      </c>
      <c r="K156" s="4" t="n">
        <f aca="false">IF(H156&gt;8,8,H156)*J156</f>
        <v>134</v>
      </c>
      <c r="L156" s="4" t="n">
        <f aca="false">I156*J156*1.5</f>
        <v>0</v>
      </c>
      <c r="M156" s="4" t="n">
        <f aca="false">K156+L156</f>
        <v>134</v>
      </c>
    </row>
    <row r="157" customFormat="false" ht="15" hidden="false" customHeight="false" outlineLevel="0" collapsed="false">
      <c r="A157" s="3" t="s">
        <v>342</v>
      </c>
      <c r="B157" s="3" t="s">
        <v>343</v>
      </c>
      <c r="C157" s="3" t="s">
        <v>327</v>
      </c>
      <c r="D157" s="2" t="n">
        <v>46097</v>
      </c>
      <c r="E157" s="3" t="s">
        <v>353</v>
      </c>
      <c r="F157" s="3" t="s">
        <v>66</v>
      </c>
      <c r="G157" s="3" t="n">
        <v>7</v>
      </c>
      <c r="H157" s="3" t="n">
        <v>7.5</v>
      </c>
      <c r="I157" s="3" t="n">
        <v>0</v>
      </c>
      <c r="J157" s="4" t="n">
        <v>16.75</v>
      </c>
      <c r="K157" s="4" t="n">
        <f aca="false">IF(H157&gt;8,8,H157)*J157</f>
        <v>125.625</v>
      </c>
      <c r="L157" s="4" t="n">
        <f aca="false">I157*J157*1.5</f>
        <v>0</v>
      </c>
      <c r="M157" s="4" t="n">
        <f aca="false">K157+L157</f>
        <v>125.625</v>
      </c>
    </row>
    <row r="158" customFormat="false" ht="15" hidden="false" customHeight="false" outlineLevel="0" collapsed="false">
      <c r="A158" s="3" t="s">
        <v>342</v>
      </c>
      <c r="B158" s="3" t="s">
        <v>343</v>
      </c>
      <c r="C158" s="3" t="s">
        <v>327</v>
      </c>
      <c r="D158" s="2" t="n">
        <v>46098</v>
      </c>
      <c r="E158" s="3" t="s">
        <v>332</v>
      </c>
      <c r="F158" s="3" t="s">
        <v>348</v>
      </c>
      <c r="G158" s="3" t="n">
        <v>8</v>
      </c>
      <c r="H158" s="3" t="n">
        <v>7.8</v>
      </c>
      <c r="I158" s="3" t="n">
        <v>0</v>
      </c>
      <c r="J158" s="4" t="n">
        <v>16.75</v>
      </c>
      <c r="K158" s="4" t="n">
        <f aca="false">IF(H158&gt;8,8,H158)*J158</f>
        <v>130.65</v>
      </c>
      <c r="L158" s="4" t="n">
        <f aca="false">I158*J158*1.5</f>
        <v>0</v>
      </c>
      <c r="M158" s="4" t="n">
        <f aca="false">K158+L158</f>
        <v>130.65</v>
      </c>
    </row>
    <row r="159" customFormat="false" ht="15" hidden="false" customHeight="false" outlineLevel="0" collapsed="false">
      <c r="A159" s="3" t="s">
        <v>342</v>
      </c>
      <c r="B159" s="3" t="s">
        <v>343</v>
      </c>
      <c r="C159" s="3" t="s">
        <v>327</v>
      </c>
      <c r="D159" s="2" t="n">
        <v>46100</v>
      </c>
      <c r="E159" s="3" t="s">
        <v>347</v>
      </c>
      <c r="F159" s="3" t="s">
        <v>354</v>
      </c>
      <c r="G159" s="3" t="n">
        <v>6</v>
      </c>
      <c r="H159" s="3" t="n">
        <v>6.3</v>
      </c>
      <c r="I159" s="3" t="n">
        <v>0</v>
      </c>
      <c r="J159" s="4" t="n">
        <v>16.75</v>
      </c>
      <c r="K159" s="4" t="n">
        <f aca="false">IF(H159&gt;8,8,H159)*J159</f>
        <v>105.525</v>
      </c>
      <c r="L159" s="4" t="n">
        <f aca="false">I159*J159*1.5</f>
        <v>0</v>
      </c>
      <c r="M159" s="4" t="n">
        <f aca="false">K159+L159</f>
        <v>105.525</v>
      </c>
    </row>
    <row r="160" customFormat="false" ht="15" hidden="false" customHeight="false" outlineLevel="0" collapsed="false">
      <c r="A160" s="3" t="s">
        <v>342</v>
      </c>
      <c r="B160" s="3" t="s">
        <v>343</v>
      </c>
      <c r="C160" s="3" t="s">
        <v>327</v>
      </c>
      <c r="D160" s="2" t="n">
        <v>46101</v>
      </c>
      <c r="E160" s="3" t="s">
        <v>339</v>
      </c>
      <c r="F160" s="3" t="s">
        <v>354</v>
      </c>
      <c r="G160" s="3" t="n">
        <v>7</v>
      </c>
      <c r="H160" s="3" t="n">
        <v>7.3</v>
      </c>
      <c r="I160" s="3" t="n">
        <v>0</v>
      </c>
      <c r="J160" s="4" t="n">
        <v>16.75</v>
      </c>
      <c r="K160" s="4" t="n">
        <f aca="false">IF(H160&gt;8,8,H160)*J160</f>
        <v>122.275</v>
      </c>
      <c r="L160" s="4" t="n">
        <f aca="false">I160*J160*1.5</f>
        <v>0</v>
      </c>
      <c r="M160" s="4" t="n">
        <f aca="false">K160+L160</f>
        <v>122.275</v>
      </c>
    </row>
    <row r="161" customFormat="false" ht="15" hidden="false" customHeight="false" outlineLevel="0" collapsed="false">
      <c r="A161" s="3" t="s">
        <v>342</v>
      </c>
      <c r="B161" s="3" t="s">
        <v>343</v>
      </c>
      <c r="C161" s="3" t="s">
        <v>327</v>
      </c>
      <c r="D161" s="2" t="n">
        <v>46102</v>
      </c>
      <c r="E161" s="3" t="s">
        <v>332</v>
      </c>
      <c r="F161" s="3" t="s">
        <v>355</v>
      </c>
      <c r="G161" s="3" t="n">
        <v>7</v>
      </c>
      <c r="H161" s="3" t="n">
        <v>7.4</v>
      </c>
      <c r="I161" s="3" t="n">
        <v>0</v>
      </c>
      <c r="J161" s="4" t="n">
        <v>16.75</v>
      </c>
      <c r="K161" s="4" t="n">
        <f aca="false">IF(H161&gt;8,8,H161)*J161</f>
        <v>123.95</v>
      </c>
      <c r="L161" s="4" t="n">
        <f aca="false">I161*J161*1.5</f>
        <v>0</v>
      </c>
      <c r="M161" s="4" t="n">
        <f aca="false">K161+L161</f>
        <v>123.95</v>
      </c>
    </row>
    <row r="162" customFormat="false" ht="15" hidden="false" customHeight="false" outlineLevel="0" collapsed="false">
      <c r="A162" s="3" t="s">
        <v>342</v>
      </c>
      <c r="B162" s="3" t="s">
        <v>343</v>
      </c>
      <c r="C162" s="3" t="s">
        <v>327</v>
      </c>
      <c r="D162" s="2" t="n">
        <v>46103</v>
      </c>
      <c r="E162" s="3" t="s">
        <v>271</v>
      </c>
      <c r="F162" s="3" t="s">
        <v>337</v>
      </c>
      <c r="G162" s="3" t="n">
        <v>6</v>
      </c>
      <c r="H162" s="3" t="n">
        <v>6.2</v>
      </c>
      <c r="I162" s="3" t="n">
        <v>0</v>
      </c>
      <c r="J162" s="4" t="n">
        <v>16.75</v>
      </c>
      <c r="K162" s="4" t="n">
        <f aca="false">IF(H162&gt;8,8,H162)*J162</f>
        <v>103.85</v>
      </c>
      <c r="L162" s="4" t="n">
        <f aca="false">I162*J162*1.5</f>
        <v>0</v>
      </c>
      <c r="M162" s="4" t="n">
        <f aca="false">K162+L162</f>
        <v>103.85</v>
      </c>
    </row>
    <row r="163" customFormat="false" ht="15" hidden="false" customHeight="false" outlineLevel="0" collapsed="false">
      <c r="A163" s="3" t="s">
        <v>342</v>
      </c>
      <c r="B163" s="3" t="s">
        <v>343</v>
      </c>
      <c r="C163" s="3" t="s">
        <v>327</v>
      </c>
      <c r="D163" s="2" t="n">
        <v>46104</v>
      </c>
      <c r="E163" s="3" t="s">
        <v>332</v>
      </c>
      <c r="F163" s="3" t="s">
        <v>116</v>
      </c>
      <c r="G163" s="3" t="n">
        <v>7</v>
      </c>
      <c r="H163" s="3" t="n">
        <v>7</v>
      </c>
      <c r="I163" s="3" t="n">
        <v>0</v>
      </c>
      <c r="J163" s="4" t="n">
        <v>16.75</v>
      </c>
      <c r="K163" s="4" t="n">
        <f aca="false">IF(H163&gt;8,8,H163)*J163</f>
        <v>117.25</v>
      </c>
      <c r="L163" s="4" t="n">
        <f aca="false">I163*J163*1.5</f>
        <v>0</v>
      </c>
      <c r="M163" s="4" t="n">
        <f aca="false">K163+L163</f>
        <v>117.25</v>
      </c>
    </row>
    <row r="164" customFormat="false" ht="15" hidden="false" customHeight="false" outlineLevel="0" collapsed="false">
      <c r="A164" s="3" t="s">
        <v>342</v>
      </c>
      <c r="B164" s="3" t="s">
        <v>343</v>
      </c>
      <c r="C164" s="3" t="s">
        <v>327</v>
      </c>
      <c r="D164" s="2" t="n">
        <v>46105</v>
      </c>
      <c r="E164" s="3" t="s">
        <v>339</v>
      </c>
      <c r="F164" s="3" t="s">
        <v>346</v>
      </c>
      <c r="G164" s="3" t="n">
        <v>8</v>
      </c>
      <c r="H164" s="3" t="n">
        <v>8.7</v>
      </c>
      <c r="I164" s="3" t="n">
        <v>0.7</v>
      </c>
      <c r="J164" s="4" t="n">
        <v>16.75</v>
      </c>
      <c r="K164" s="4" t="n">
        <f aca="false">IF(H164&gt;8,8,H164)*J164</f>
        <v>134</v>
      </c>
      <c r="L164" s="4" t="n">
        <f aca="false">I164*J164*1.5</f>
        <v>17.5875</v>
      </c>
      <c r="M164" s="4" t="n">
        <f aca="false">K164+L164</f>
        <v>151.5875</v>
      </c>
    </row>
    <row r="165" customFormat="false" ht="15" hidden="false" customHeight="false" outlineLevel="0" collapsed="false">
      <c r="A165" s="3" t="s">
        <v>342</v>
      </c>
      <c r="B165" s="3" t="s">
        <v>343</v>
      </c>
      <c r="C165" s="3" t="s">
        <v>327</v>
      </c>
      <c r="D165" s="2" t="n">
        <v>46106</v>
      </c>
      <c r="E165" s="3" t="s">
        <v>271</v>
      </c>
      <c r="F165" s="3" t="s">
        <v>290</v>
      </c>
      <c r="G165" s="3" t="n">
        <v>8</v>
      </c>
      <c r="H165" s="3" t="n">
        <v>9.1</v>
      </c>
      <c r="I165" s="3" t="n">
        <v>1.1</v>
      </c>
      <c r="J165" s="4" t="n">
        <v>16.75</v>
      </c>
      <c r="K165" s="4" t="n">
        <f aca="false">IF(H165&gt;8,8,H165)*J165</f>
        <v>134</v>
      </c>
      <c r="L165" s="4" t="n">
        <f aca="false">I165*J165*1.5</f>
        <v>27.6375</v>
      </c>
      <c r="M165" s="4" t="n">
        <f aca="false">K165+L165</f>
        <v>161.6375</v>
      </c>
    </row>
    <row r="166" customFormat="false" ht="15" hidden="false" customHeight="false" outlineLevel="0" collapsed="false">
      <c r="A166" s="3" t="s">
        <v>342</v>
      </c>
      <c r="B166" s="3" t="s">
        <v>343</v>
      </c>
      <c r="C166" s="3" t="s">
        <v>327</v>
      </c>
      <c r="D166" s="2" t="n">
        <v>46107</v>
      </c>
      <c r="E166" s="3" t="s">
        <v>330</v>
      </c>
      <c r="F166" s="3" t="s">
        <v>264</v>
      </c>
      <c r="G166" s="3" t="n">
        <v>8</v>
      </c>
      <c r="H166" s="3" t="n">
        <v>9.2</v>
      </c>
      <c r="I166" s="3" t="n">
        <v>1.2</v>
      </c>
      <c r="J166" s="4" t="n">
        <v>16.75</v>
      </c>
      <c r="K166" s="4" t="n">
        <f aca="false">IF(H166&gt;8,8,H166)*J166</f>
        <v>134</v>
      </c>
      <c r="L166" s="4" t="n">
        <f aca="false">I166*J166*1.5</f>
        <v>30.15</v>
      </c>
      <c r="M166" s="4" t="n">
        <f aca="false">K166+L166</f>
        <v>164.15</v>
      </c>
    </row>
    <row r="167" customFormat="false" ht="15" hidden="false" customHeight="false" outlineLevel="0" collapsed="false">
      <c r="A167" s="3" t="s">
        <v>342</v>
      </c>
      <c r="B167" s="3" t="s">
        <v>343</v>
      </c>
      <c r="C167" s="3" t="s">
        <v>327</v>
      </c>
      <c r="D167" s="2" t="n">
        <v>46108</v>
      </c>
      <c r="E167" s="3" t="s">
        <v>332</v>
      </c>
      <c r="F167" s="3" t="s">
        <v>147</v>
      </c>
      <c r="G167" s="3" t="n">
        <v>6</v>
      </c>
      <c r="H167" s="3" t="n">
        <v>6.5</v>
      </c>
      <c r="I167" s="3" t="n">
        <v>0</v>
      </c>
      <c r="J167" s="4" t="n">
        <v>16.75</v>
      </c>
      <c r="K167" s="4" t="n">
        <f aca="false">IF(H167&gt;8,8,H167)*J167</f>
        <v>108.875</v>
      </c>
      <c r="L167" s="4" t="n">
        <f aca="false">I167*J167*1.5</f>
        <v>0</v>
      </c>
      <c r="M167" s="4" t="n">
        <f aca="false">K167+L167</f>
        <v>108.875</v>
      </c>
    </row>
    <row r="168" customFormat="false" ht="15" hidden="false" customHeight="false" outlineLevel="0" collapsed="false">
      <c r="A168" s="3" t="s">
        <v>342</v>
      </c>
      <c r="B168" s="3" t="s">
        <v>343</v>
      </c>
      <c r="C168" s="3" t="s">
        <v>327</v>
      </c>
      <c r="D168" s="2" t="n">
        <v>46110</v>
      </c>
      <c r="E168" s="3" t="s">
        <v>331</v>
      </c>
      <c r="F168" s="3" t="s">
        <v>356</v>
      </c>
      <c r="G168" s="3" t="n">
        <v>8</v>
      </c>
      <c r="H168" s="3" t="n">
        <v>7.9</v>
      </c>
      <c r="I168" s="3" t="n">
        <v>0</v>
      </c>
      <c r="J168" s="4" t="n">
        <v>16.75</v>
      </c>
      <c r="K168" s="4" t="n">
        <f aca="false">IF(H168&gt;8,8,H168)*J168</f>
        <v>132.325</v>
      </c>
      <c r="L168" s="4" t="n">
        <f aca="false">I168*J168*1.5</f>
        <v>0</v>
      </c>
      <c r="M168" s="4" t="n">
        <f aca="false">K168+L168</f>
        <v>132.325</v>
      </c>
    </row>
    <row r="169" customFormat="false" ht="15" hidden="false" customHeight="false" outlineLevel="0" collapsed="false">
      <c r="A169" s="3" t="s">
        <v>342</v>
      </c>
      <c r="B169" s="3" t="s">
        <v>343</v>
      </c>
      <c r="C169" s="3" t="s">
        <v>327</v>
      </c>
      <c r="D169" s="2" t="n">
        <v>46111</v>
      </c>
      <c r="E169" s="3" t="s">
        <v>271</v>
      </c>
      <c r="F169" s="3" t="s">
        <v>268</v>
      </c>
      <c r="G169" s="3" t="n">
        <v>7</v>
      </c>
      <c r="H169" s="3" t="n">
        <v>6.9</v>
      </c>
      <c r="I169" s="3" t="n">
        <v>0</v>
      </c>
      <c r="J169" s="4" t="n">
        <v>16.75</v>
      </c>
      <c r="K169" s="4" t="n">
        <f aca="false">IF(H169&gt;8,8,H169)*J169</f>
        <v>115.575</v>
      </c>
      <c r="L169" s="4" t="n">
        <f aca="false">I169*J169*1.5</f>
        <v>0</v>
      </c>
      <c r="M169" s="4" t="n">
        <f aca="false">K169+L169</f>
        <v>115.575</v>
      </c>
    </row>
    <row r="170" customFormat="false" ht="15" hidden="false" customHeight="false" outlineLevel="0" collapsed="false">
      <c r="A170" s="3" t="s">
        <v>342</v>
      </c>
      <c r="B170" s="3" t="s">
        <v>343</v>
      </c>
      <c r="C170" s="3" t="s">
        <v>327</v>
      </c>
      <c r="D170" s="2" t="n">
        <v>46112</v>
      </c>
      <c r="E170" s="3" t="s">
        <v>339</v>
      </c>
      <c r="F170" s="3" t="s">
        <v>344</v>
      </c>
      <c r="G170" s="3" t="n">
        <v>6</v>
      </c>
      <c r="H170" s="3" t="n">
        <v>7.4</v>
      </c>
      <c r="I170" s="3" t="n">
        <v>0</v>
      </c>
      <c r="J170" s="4" t="n">
        <v>16.75</v>
      </c>
      <c r="K170" s="4" t="n">
        <f aca="false">IF(H170&gt;8,8,H170)*J170</f>
        <v>123.95</v>
      </c>
      <c r="L170" s="4" t="n">
        <f aca="false">I170*J170*1.5</f>
        <v>0</v>
      </c>
      <c r="M170" s="4" t="n">
        <f aca="false">K170+L170</f>
        <v>123.95</v>
      </c>
    </row>
    <row r="171" customFormat="false" ht="15" hidden="false" customHeight="false" outlineLevel="0" collapsed="false">
      <c r="A171" s="3" t="s">
        <v>357</v>
      </c>
      <c r="B171" s="3" t="s">
        <v>358</v>
      </c>
      <c r="C171" s="3" t="s">
        <v>359</v>
      </c>
      <c r="D171" s="2" t="n">
        <v>46082</v>
      </c>
      <c r="E171" s="3" t="s">
        <v>332</v>
      </c>
      <c r="F171" s="3" t="s">
        <v>116</v>
      </c>
      <c r="G171" s="3" t="n">
        <v>7</v>
      </c>
      <c r="H171" s="3" t="n">
        <v>7</v>
      </c>
      <c r="I171" s="3" t="n">
        <v>0</v>
      </c>
      <c r="J171" s="4" t="n">
        <v>15</v>
      </c>
      <c r="K171" s="4" t="n">
        <f aca="false">IF(H171&gt;8,8,H171)*J171</f>
        <v>105</v>
      </c>
      <c r="L171" s="4" t="n">
        <f aca="false">I171*J171*1.5</f>
        <v>0</v>
      </c>
      <c r="M171" s="4" t="n">
        <f aca="false">K171+L171</f>
        <v>105</v>
      </c>
    </row>
    <row r="172" customFormat="false" ht="15" hidden="false" customHeight="false" outlineLevel="0" collapsed="false">
      <c r="A172" s="3" t="s">
        <v>357</v>
      </c>
      <c r="B172" s="3" t="s">
        <v>358</v>
      </c>
      <c r="C172" s="3" t="s">
        <v>359</v>
      </c>
      <c r="D172" s="2" t="n">
        <v>46083</v>
      </c>
      <c r="E172" s="3" t="s">
        <v>335</v>
      </c>
      <c r="F172" s="3" t="s">
        <v>349</v>
      </c>
      <c r="G172" s="3" t="n">
        <v>6</v>
      </c>
      <c r="H172" s="3" t="n">
        <v>6.6</v>
      </c>
      <c r="I172" s="3" t="n">
        <v>0</v>
      </c>
      <c r="J172" s="4" t="n">
        <v>15</v>
      </c>
      <c r="K172" s="4" t="n">
        <f aca="false">IF(H172&gt;8,8,H172)*J172</f>
        <v>99</v>
      </c>
      <c r="L172" s="4" t="n">
        <f aca="false">I172*J172*1.5</f>
        <v>0</v>
      </c>
      <c r="M172" s="4" t="n">
        <f aca="false">K172+L172</f>
        <v>99</v>
      </c>
    </row>
    <row r="173" customFormat="false" ht="15" hidden="false" customHeight="false" outlineLevel="0" collapsed="false">
      <c r="A173" s="3" t="s">
        <v>357</v>
      </c>
      <c r="B173" s="3" t="s">
        <v>358</v>
      </c>
      <c r="C173" s="3" t="s">
        <v>359</v>
      </c>
      <c r="D173" s="2" t="n">
        <v>46085</v>
      </c>
      <c r="E173" s="3" t="s">
        <v>353</v>
      </c>
      <c r="F173" s="3" t="s">
        <v>356</v>
      </c>
      <c r="G173" s="3" t="n">
        <v>6</v>
      </c>
      <c r="H173" s="3" t="n">
        <v>6.9</v>
      </c>
      <c r="I173" s="3" t="n">
        <v>0</v>
      </c>
      <c r="J173" s="4" t="n">
        <v>15</v>
      </c>
      <c r="K173" s="4" t="n">
        <f aca="false">IF(H173&gt;8,8,H173)*J173</f>
        <v>103.5</v>
      </c>
      <c r="L173" s="4" t="n">
        <f aca="false">I173*J173*1.5</f>
        <v>0</v>
      </c>
      <c r="M173" s="4" t="n">
        <f aca="false">K173+L173</f>
        <v>103.5</v>
      </c>
    </row>
    <row r="174" customFormat="false" ht="15" hidden="false" customHeight="false" outlineLevel="0" collapsed="false">
      <c r="A174" s="3" t="s">
        <v>357</v>
      </c>
      <c r="B174" s="3" t="s">
        <v>358</v>
      </c>
      <c r="C174" s="3" t="s">
        <v>359</v>
      </c>
      <c r="D174" s="2" t="n">
        <v>46086</v>
      </c>
      <c r="E174" s="3" t="s">
        <v>271</v>
      </c>
      <c r="F174" s="3" t="s">
        <v>268</v>
      </c>
      <c r="G174" s="3" t="n">
        <v>7</v>
      </c>
      <c r="H174" s="3" t="n">
        <v>6.9</v>
      </c>
      <c r="I174" s="3" t="n">
        <v>0</v>
      </c>
      <c r="J174" s="4" t="n">
        <v>15</v>
      </c>
      <c r="K174" s="4" t="n">
        <f aca="false">IF(H174&gt;8,8,H174)*J174</f>
        <v>103.5</v>
      </c>
      <c r="L174" s="4" t="n">
        <f aca="false">I174*J174*1.5</f>
        <v>0</v>
      </c>
      <c r="M174" s="4" t="n">
        <f aca="false">K174+L174</f>
        <v>103.5</v>
      </c>
    </row>
    <row r="175" customFormat="false" ht="15" hidden="false" customHeight="false" outlineLevel="0" collapsed="false">
      <c r="A175" s="3" t="s">
        <v>357</v>
      </c>
      <c r="B175" s="3" t="s">
        <v>358</v>
      </c>
      <c r="C175" s="3" t="s">
        <v>359</v>
      </c>
      <c r="D175" s="2" t="n">
        <v>46087</v>
      </c>
      <c r="E175" s="3" t="s">
        <v>347</v>
      </c>
      <c r="F175" s="3" t="s">
        <v>360</v>
      </c>
      <c r="G175" s="3" t="n">
        <v>7</v>
      </c>
      <c r="H175" s="3" t="n">
        <v>6.7</v>
      </c>
      <c r="I175" s="3" t="n">
        <v>0</v>
      </c>
      <c r="J175" s="4" t="n">
        <v>15</v>
      </c>
      <c r="K175" s="4" t="n">
        <f aca="false">IF(H175&gt;8,8,H175)*J175</f>
        <v>100.5</v>
      </c>
      <c r="L175" s="4" t="n">
        <f aca="false">I175*J175*1.5</f>
        <v>0</v>
      </c>
      <c r="M175" s="4" t="n">
        <f aca="false">K175+L175</f>
        <v>100.5</v>
      </c>
    </row>
    <row r="176" customFormat="false" ht="15" hidden="false" customHeight="false" outlineLevel="0" collapsed="false">
      <c r="A176" s="3" t="s">
        <v>357</v>
      </c>
      <c r="B176" s="3" t="s">
        <v>358</v>
      </c>
      <c r="C176" s="3" t="s">
        <v>359</v>
      </c>
      <c r="D176" s="2" t="n">
        <v>46088</v>
      </c>
      <c r="E176" s="3" t="s">
        <v>345</v>
      </c>
      <c r="F176" s="3" t="s">
        <v>192</v>
      </c>
      <c r="G176" s="3" t="n">
        <v>7</v>
      </c>
      <c r="H176" s="3" t="n">
        <v>6.5</v>
      </c>
      <c r="I176" s="3" t="n">
        <v>0</v>
      </c>
      <c r="J176" s="4" t="n">
        <v>15</v>
      </c>
      <c r="K176" s="4" t="n">
        <f aca="false">IF(H176&gt;8,8,H176)*J176</f>
        <v>97.5</v>
      </c>
      <c r="L176" s="4" t="n">
        <f aca="false">I176*J176*1.5</f>
        <v>0</v>
      </c>
      <c r="M176" s="4" t="n">
        <f aca="false">K176+L176</f>
        <v>97.5</v>
      </c>
    </row>
    <row r="177" customFormat="false" ht="15" hidden="false" customHeight="false" outlineLevel="0" collapsed="false">
      <c r="A177" s="3" t="s">
        <v>357</v>
      </c>
      <c r="B177" s="3" t="s">
        <v>358</v>
      </c>
      <c r="C177" s="3" t="s">
        <v>359</v>
      </c>
      <c r="D177" s="2" t="n">
        <v>46089</v>
      </c>
      <c r="E177" s="3" t="s">
        <v>255</v>
      </c>
      <c r="F177" s="3" t="s">
        <v>54</v>
      </c>
      <c r="G177" s="3" t="n">
        <v>7</v>
      </c>
      <c r="H177" s="3" t="n">
        <v>7</v>
      </c>
      <c r="I177" s="3" t="n">
        <v>0</v>
      </c>
      <c r="J177" s="4" t="n">
        <v>15</v>
      </c>
      <c r="K177" s="4" t="n">
        <f aca="false">IF(H177&gt;8,8,H177)*J177</f>
        <v>105</v>
      </c>
      <c r="L177" s="4" t="n">
        <f aca="false">I177*J177*1.5</f>
        <v>0</v>
      </c>
      <c r="M177" s="4" t="n">
        <f aca="false">K177+L177</f>
        <v>105</v>
      </c>
    </row>
    <row r="178" customFormat="false" ht="15" hidden="false" customHeight="false" outlineLevel="0" collapsed="false">
      <c r="A178" s="3" t="s">
        <v>357</v>
      </c>
      <c r="B178" s="3" t="s">
        <v>358</v>
      </c>
      <c r="C178" s="3" t="s">
        <v>359</v>
      </c>
      <c r="D178" s="2" t="n">
        <v>46091</v>
      </c>
      <c r="E178" s="3" t="s">
        <v>271</v>
      </c>
      <c r="F178" s="3" t="s">
        <v>299</v>
      </c>
      <c r="G178" s="3" t="n">
        <v>7</v>
      </c>
      <c r="H178" s="3" t="n">
        <v>7.3</v>
      </c>
      <c r="I178" s="3" t="n">
        <v>0</v>
      </c>
      <c r="J178" s="4" t="n">
        <v>15</v>
      </c>
      <c r="K178" s="4" t="n">
        <f aca="false">IF(H178&gt;8,8,H178)*J178</f>
        <v>109.5</v>
      </c>
      <c r="L178" s="4" t="n">
        <f aca="false">I178*J178*1.5</f>
        <v>0</v>
      </c>
      <c r="M178" s="4" t="n">
        <f aca="false">K178+L178</f>
        <v>109.5</v>
      </c>
    </row>
    <row r="179" customFormat="false" ht="15" hidden="false" customHeight="false" outlineLevel="0" collapsed="false">
      <c r="A179" s="3" t="s">
        <v>357</v>
      </c>
      <c r="B179" s="3" t="s">
        <v>358</v>
      </c>
      <c r="C179" s="3" t="s">
        <v>359</v>
      </c>
      <c r="D179" s="2" t="n">
        <v>46092</v>
      </c>
      <c r="E179" s="3" t="s">
        <v>331</v>
      </c>
      <c r="F179" s="3" t="s">
        <v>361</v>
      </c>
      <c r="G179" s="3" t="n">
        <v>8</v>
      </c>
      <c r="H179" s="3" t="n">
        <v>7.6</v>
      </c>
      <c r="I179" s="3" t="n">
        <v>0</v>
      </c>
      <c r="J179" s="4" t="n">
        <v>15</v>
      </c>
      <c r="K179" s="4" t="n">
        <f aca="false">IF(H179&gt;8,8,H179)*J179</f>
        <v>114</v>
      </c>
      <c r="L179" s="4" t="n">
        <f aca="false">I179*J179*1.5</f>
        <v>0</v>
      </c>
      <c r="M179" s="4" t="n">
        <f aca="false">K179+L179</f>
        <v>114</v>
      </c>
    </row>
    <row r="180" customFormat="false" ht="15" hidden="false" customHeight="false" outlineLevel="0" collapsed="false">
      <c r="A180" s="3" t="s">
        <v>357</v>
      </c>
      <c r="B180" s="3" t="s">
        <v>358</v>
      </c>
      <c r="C180" s="3" t="s">
        <v>359</v>
      </c>
      <c r="D180" s="2" t="n">
        <v>46093</v>
      </c>
      <c r="E180" s="3" t="s">
        <v>332</v>
      </c>
      <c r="F180" s="3" t="s">
        <v>362</v>
      </c>
      <c r="G180" s="3" t="n">
        <v>8</v>
      </c>
      <c r="H180" s="3" t="n">
        <v>8.8</v>
      </c>
      <c r="I180" s="3" t="n">
        <v>0.8</v>
      </c>
      <c r="J180" s="4" t="n">
        <v>15</v>
      </c>
      <c r="K180" s="4" t="n">
        <f aca="false">IF(H180&gt;8,8,H180)*J180</f>
        <v>120</v>
      </c>
      <c r="L180" s="4" t="n">
        <f aca="false">I180*J180*1.5</f>
        <v>18</v>
      </c>
      <c r="M180" s="4" t="n">
        <f aca="false">K180+L180</f>
        <v>138</v>
      </c>
    </row>
    <row r="181" customFormat="false" ht="15" hidden="false" customHeight="false" outlineLevel="0" collapsed="false">
      <c r="A181" s="3" t="s">
        <v>357</v>
      </c>
      <c r="B181" s="3" t="s">
        <v>358</v>
      </c>
      <c r="C181" s="3" t="s">
        <v>359</v>
      </c>
      <c r="D181" s="2" t="n">
        <v>46094</v>
      </c>
      <c r="E181" s="3" t="s">
        <v>345</v>
      </c>
      <c r="F181" s="3" t="s">
        <v>363</v>
      </c>
      <c r="G181" s="3" t="n">
        <v>8</v>
      </c>
      <c r="H181" s="3" t="n">
        <v>8.1</v>
      </c>
      <c r="I181" s="3" t="n">
        <v>0.1</v>
      </c>
      <c r="J181" s="4" t="n">
        <v>15</v>
      </c>
      <c r="K181" s="4" t="n">
        <f aca="false">IF(H181&gt;8,8,H181)*J181</f>
        <v>120</v>
      </c>
      <c r="L181" s="4" t="n">
        <f aca="false">I181*J181*1.5</f>
        <v>2.25</v>
      </c>
      <c r="M181" s="4" t="n">
        <f aca="false">K181+L181</f>
        <v>122.25</v>
      </c>
    </row>
    <row r="182" customFormat="false" ht="15" hidden="false" customHeight="false" outlineLevel="0" collapsed="false">
      <c r="A182" s="3" t="s">
        <v>357</v>
      </c>
      <c r="B182" s="3" t="s">
        <v>358</v>
      </c>
      <c r="C182" s="3" t="s">
        <v>359</v>
      </c>
      <c r="D182" s="2" t="n">
        <v>46095</v>
      </c>
      <c r="E182" s="3" t="s">
        <v>330</v>
      </c>
      <c r="F182" s="3" t="s">
        <v>360</v>
      </c>
      <c r="G182" s="3" t="n">
        <v>7</v>
      </c>
      <c r="H182" s="3" t="n">
        <v>6.7</v>
      </c>
      <c r="I182" s="3" t="n">
        <v>0</v>
      </c>
      <c r="J182" s="4" t="n">
        <v>15</v>
      </c>
      <c r="K182" s="4" t="n">
        <f aca="false">IF(H182&gt;8,8,H182)*J182</f>
        <v>100.5</v>
      </c>
      <c r="L182" s="4" t="n">
        <f aca="false">I182*J182*1.5</f>
        <v>0</v>
      </c>
      <c r="M182" s="4" t="n">
        <f aca="false">K182+L182</f>
        <v>100.5</v>
      </c>
    </row>
    <row r="183" customFormat="false" ht="15" hidden="false" customHeight="false" outlineLevel="0" collapsed="false">
      <c r="A183" s="3" t="s">
        <v>357</v>
      </c>
      <c r="B183" s="3" t="s">
        <v>358</v>
      </c>
      <c r="C183" s="3" t="s">
        <v>359</v>
      </c>
      <c r="D183" s="2" t="n">
        <v>46097</v>
      </c>
      <c r="E183" s="3" t="s">
        <v>353</v>
      </c>
      <c r="F183" s="3" t="s">
        <v>349</v>
      </c>
      <c r="G183" s="3" t="n">
        <v>6</v>
      </c>
      <c r="H183" s="3" t="n">
        <v>5.6</v>
      </c>
      <c r="I183" s="3" t="n">
        <v>0</v>
      </c>
      <c r="J183" s="4" t="n">
        <v>15</v>
      </c>
      <c r="K183" s="4" t="n">
        <f aca="false">IF(H183&gt;8,8,H183)*J183</f>
        <v>84</v>
      </c>
      <c r="L183" s="4" t="n">
        <f aca="false">I183*J183*1.5</f>
        <v>0</v>
      </c>
      <c r="M183" s="4" t="n">
        <f aca="false">K183+L183</f>
        <v>84</v>
      </c>
    </row>
    <row r="184" customFormat="false" ht="15" hidden="false" customHeight="false" outlineLevel="0" collapsed="false">
      <c r="A184" s="3" t="s">
        <v>357</v>
      </c>
      <c r="B184" s="3" t="s">
        <v>358</v>
      </c>
      <c r="C184" s="3" t="s">
        <v>359</v>
      </c>
      <c r="D184" s="2" t="n">
        <v>46098</v>
      </c>
      <c r="E184" s="3" t="s">
        <v>255</v>
      </c>
      <c r="F184" s="3" t="s">
        <v>297</v>
      </c>
      <c r="G184" s="3" t="n">
        <v>6</v>
      </c>
      <c r="H184" s="3" t="n">
        <v>6.3</v>
      </c>
      <c r="I184" s="3" t="n">
        <v>0</v>
      </c>
      <c r="J184" s="4" t="n">
        <v>15</v>
      </c>
      <c r="K184" s="4" t="n">
        <f aca="false">IF(H184&gt;8,8,H184)*J184</f>
        <v>94.5</v>
      </c>
      <c r="L184" s="4" t="n">
        <f aca="false">I184*J184*1.5</f>
        <v>0</v>
      </c>
      <c r="M184" s="4" t="n">
        <f aca="false">K184+L184</f>
        <v>94.5</v>
      </c>
    </row>
    <row r="185" customFormat="false" ht="15" hidden="false" customHeight="false" outlineLevel="0" collapsed="false">
      <c r="A185" s="3" t="s">
        <v>357</v>
      </c>
      <c r="B185" s="3" t="s">
        <v>358</v>
      </c>
      <c r="C185" s="3" t="s">
        <v>359</v>
      </c>
      <c r="D185" s="2" t="n">
        <v>46100</v>
      </c>
      <c r="E185" s="3" t="s">
        <v>271</v>
      </c>
      <c r="F185" s="3" t="s">
        <v>274</v>
      </c>
      <c r="G185" s="3" t="n">
        <v>7</v>
      </c>
      <c r="H185" s="3" t="n">
        <v>7.9</v>
      </c>
      <c r="I185" s="3" t="n">
        <v>0</v>
      </c>
      <c r="J185" s="4" t="n">
        <v>15</v>
      </c>
      <c r="K185" s="4" t="n">
        <f aca="false">IF(H185&gt;8,8,H185)*J185</f>
        <v>118.5</v>
      </c>
      <c r="L185" s="4" t="n">
        <f aca="false">I185*J185*1.5</f>
        <v>0</v>
      </c>
      <c r="M185" s="4" t="n">
        <f aca="false">K185+L185</f>
        <v>118.5</v>
      </c>
    </row>
    <row r="186" customFormat="false" ht="15" hidden="false" customHeight="false" outlineLevel="0" collapsed="false">
      <c r="A186" s="3" t="s">
        <v>357</v>
      </c>
      <c r="B186" s="3" t="s">
        <v>358</v>
      </c>
      <c r="C186" s="3" t="s">
        <v>359</v>
      </c>
      <c r="D186" s="2" t="n">
        <v>46101</v>
      </c>
      <c r="E186" s="3" t="s">
        <v>330</v>
      </c>
      <c r="F186" s="3" t="s">
        <v>363</v>
      </c>
      <c r="G186" s="3" t="n">
        <v>6</v>
      </c>
      <c r="H186" s="3" t="n">
        <v>7.1</v>
      </c>
      <c r="I186" s="3" t="n">
        <v>0</v>
      </c>
      <c r="J186" s="4" t="n">
        <v>15</v>
      </c>
      <c r="K186" s="4" t="n">
        <f aca="false">IF(H186&gt;8,8,H186)*J186</f>
        <v>106.5</v>
      </c>
      <c r="L186" s="4" t="n">
        <f aca="false">I186*J186*1.5</f>
        <v>0</v>
      </c>
      <c r="M186" s="4" t="n">
        <f aca="false">K186+L186</f>
        <v>106.5</v>
      </c>
    </row>
    <row r="187" customFormat="false" ht="15" hidden="false" customHeight="false" outlineLevel="0" collapsed="false">
      <c r="A187" s="3" t="s">
        <v>357</v>
      </c>
      <c r="B187" s="3" t="s">
        <v>358</v>
      </c>
      <c r="C187" s="3" t="s">
        <v>359</v>
      </c>
      <c r="D187" s="2" t="n">
        <v>46102</v>
      </c>
      <c r="E187" s="3" t="s">
        <v>339</v>
      </c>
      <c r="F187" s="3" t="s">
        <v>364</v>
      </c>
      <c r="G187" s="3" t="n">
        <v>7</v>
      </c>
      <c r="H187" s="3" t="n">
        <v>8.2</v>
      </c>
      <c r="I187" s="3" t="n">
        <v>0.2</v>
      </c>
      <c r="J187" s="4" t="n">
        <v>15</v>
      </c>
      <c r="K187" s="4" t="n">
        <f aca="false">IF(H187&gt;8,8,H187)*J187</f>
        <v>120</v>
      </c>
      <c r="L187" s="4" t="n">
        <f aca="false">I187*J187*1.5</f>
        <v>4.5</v>
      </c>
      <c r="M187" s="4" t="n">
        <f aca="false">K187+L187</f>
        <v>124.5</v>
      </c>
    </row>
    <row r="188" customFormat="false" ht="15" hidden="false" customHeight="false" outlineLevel="0" collapsed="false">
      <c r="A188" s="3" t="s">
        <v>357</v>
      </c>
      <c r="B188" s="3" t="s">
        <v>358</v>
      </c>
      <c r="C188" s="3" t="s">
        <v>359</v>
      </c>
      <c r="D188" s="2" t="n">
        <v>46103</v>
      </c>
      <c r="E188" s="3" t="s">
        <v>330</v>
      </c>
      <c r="F188" s="3" t="s">
        <v>101</v>
      </c>
      <c r="G188" s="3" t="n">
        <v>8</v>
      </c>
      <c r="H188" s="3" t="n">
        <v>9.5</v>
      </c>
      <c r="I188" s="3" t="n">
        <v>1.5</v>
      </c>
      <c r="J188" s="4" t="n">
        <v>15</v>
      </c>
      <c r="K188" s="4" t="n">
        <f aca="false">IF(H188&gt;8,8,H188)*J188</f>
        <v>120</v>
      </c>
      <c r="L188" s="4" t="n">
        <f aca="false">I188*J188*1.5</f>
        <v>33.75</v>
      </c>
      <c r="M188" s="4" t="n">
        <f aca="false">K188+L188</f>
        <v>153.75</v>
      </c>
    </row>
    <row r="189" customFormat="false" ht="15" hidden="false" customHeight="false" outlineLevel="0" collapsed="false">
      <c r="A189" s="3" t="s">
        <v>357</v>
      </c>
      <c r="B189" s="3" t="s">
        <v>358</v>
      </c>
      <c r="C189" s="3" t="s">
        <v>359</v>
      </c>
      <c r="D189" s="2" t="n">
        <v>46104</v>
      </c>
      <c r="E189" s="3" t="s">
        <v>255</v>
      </c>
      <c r="F189" s="3" t="s">
        <v>363</v>
      </c>
      <c r="G189" s="3" t="n">
        <v>6</v>
      </c>
      <c r="H189" s="3" t="n">
        <v>6.1</v>
      </c>
      <c r="I189" s="3" t="n">
        <v>0</v>
      </c>
      <c r="J189" s="4" t="n">
        <v>15</v>
      </c>
      <c r="K189" s="4" t="n">
        <f aca="false">IF(H189&gt;8,8,H189)*J189</f>
        <v>91.5</v>
      </c>
      <c r="L189" s="4" t="n">
        <f aca="false">I189*J189*1.5</f>
        <v>0</v>
      </c>
      <c r="M189" s="4" t="n">
        <f aca="false">K189+L189</f>
        <v>91.5</v>
      </c>
    </row>
    <row r="190" customFormat="false" ht="15" hidden="false" customHeight="false" outlineLevel="0" collapsed="false">
      <c r="A190" s="3" t="s">
        <v>357</v>
      </c>
      <c r="B190" s="3" t="s">
        <v>358</v>
      </c>
      <c r="C190" s="3" t="s">
        <v>359</v>
      </c>
      <c r="D190" s="2" t="n">
        <v>46105</v>
      </c>
      <c r="E190" s="3" t="s">
        <v>330</v>
      </c>
      <c r="F190" s="3" t="s">
        <v>365</v>
      </c>
      <c r="G190" s="3" t="n">
        <v>7</v>
      </c>
      <c r="H190" s="3" t="n">
        <v>7.4</v>
      </c>
      <c r="I190" s="3" t="n">
        <v>0</v>
      </c>
      <c r="J190" s="4" t="n">
        <v>15</v>
      </c>
      <c r="K190" s="4" t="n">
        <f aca="false">IF(H190&gt;8,8,H190)*J190</f>
        <v>111</v>
      </c>
      <c r="L190" s="4" t="n">
        <f aca="false">I190*J190*1.5</f>
        <v>0</v>
      </c>
      <c r="M190" s="4" t="n">
        <f aca="false">K190+L190</f>
        <v>111</v>
      </c>
    </row>
    <row r="191" customFormat="false" ht="15" hidden="false" customHeight="false" outlineLevel="0" collapsed="false">
      <c r="A191" s="3" t="s">
        <v>357</v>
      </c>
      <c r="B191" s="3" t="s">
        <v>358</v>
      </c>
      <c r="C191" s="3" t="s">
        <v>359</v>
      </c>
      <c r="D191" s="2" t="n">
        <v>46106</v>
      </c>
      <c r="E191" s="3" t="s">
        <v>328</v>
      </c>
      <c r="F191" s="3" t="s">
        <v>66</v>
      </c>
      <c r="G191" s="3" t="n">
        <v>7</v>
      </c>
      <c r="H191" s="3" t="n">
        <v>6.5</v>
      </c>
      <c r="I191" s="3" t="n">
        <v>0</v>
      </c>
      <c r="J191" s="4" t="n">
        <v>15</v>
      </c>
      <c r="K191" s="4" t="n">
        <f aca="false">IF(H191&gt;8,8,H191)*J191</f>
        <v>97.5</v>
      </c>
      <c r="L191" s="4" t="n">
        <f aca="false">I191*J191*1.5</f>
        <v>0</v>
      </c>
      <c r="M191" s="4" t="n">
        <f aca="false">K191+L191</f>
        <v>97.5</v>
      </c>
    </row>
    <row r="192" customFormat="false" ht="15" hidden="false" customHeight="false" outlineLevel="0" collapsed="false">
      <c r="A192" s="3" t="s">
        <v>357</v>
      </c>
      <c r="B192" s="3" t="s">
        <v>358</v>
      </c>
      <c r="C192" s="3" t="s">
        <v>359</v>
      </c>
      <c r="D192" s="2" t="n">
        <v>46108</v>
      </c>
      <c r="E192" s="3" t="s">
        <v>347</v>
      </c>
      <c r="F192" s="3" t="s">
        <v>366</v>
      </c>
      <c r="G192" s="3" t="n">
        <v>8</v>
      </c>
      <c r="H192" s="3" t="n">
        <v>9.3</v>
      </c>
      <c r="I192" s="3" t="n">
        <v>1.3</v>
      </c>
      <c r="J192" s="4" t="n">
        <v>15</v>
      </c>
      <c r="K192" s="4" t="n">
        <f aca="false">IF(H192&gt;8,8,H192)*J192</f>
        <v>120</v>
      </c>
      <c r="L192" s="4" t="n">
        <f aca="false">I192*J192*1.5</f>
        <v>29.25</v>
      </c>
      <c r="M192" s="4" t="n">
        <f aca="false">K192+L192</f>
        <v>149.25</v>
      </c>
    </row>
    <row r="193" customFormat="false" ht="15" hidden="false" customHeight="false" outlineLevel="0" collapsed="false">
      <c r="A193" s="3" t="s">
        <v>357</v>
      </c>
      <c r="B193" s="3" t="s">
        <v>358</v>
      </c>
      <c r="C193" s="3" t="s">
        <v>359</v>
      </c>
      <c r="D193" s="2" t="n">
        <v>46109</v>
      </c>
      <c r="E193" s="3" t="s">
        <v>271</v>
      </c>
      <c r="F193" s="3" t="s">
        <v>297</v>
      </c>
      <c r="G193" s="3" t="n">
        <v>6</v>
      </c>
      <c r="H193" s="3" t="n">
        <v>6.3</v>
      </c>
      <c r="I193" s="3" t="n">
        <v>0</v>
      </c>
      <c r="J193" s="4" t="n">
        <v>15</v>
      </c>
      <c r="K193" s="4" t="n">
        <f aca="false">IF(H193&gt;8,8,H193)*J193</f>
        <v>94.5</v>
      </c>
      <c r="L193" s="4" t="n">
        <f aca="false">I193*J193*1.5</f>
        <v>0</v>
      </c>
      <c r="M193" s="4" t="n">
        <f aca="false">K193+L193</f>
        <v>94.5</v>
      </c>
    </row>
    <row r="194" customFormat="false" ht="15" hidden="false" customHeight="false" outlineLevel="0" collapsed="false">
      <c r="A194" s="3" t="s">
        <v>357</v>
      </c>
      <c r="B194" s="3" t="s">
        <v>358</v>
      </c>
      <c r="C194" s="3" t="s">
        <v>359</v>
      </c>
      <c r="D194" s="2" t="n">
        <v>46110</v>
      </c>
      <c r="E194" s="3" t="s">
        <v>271</v>
      </c>
      <c r="F194" s="3" t="s">
        <v>270</v>
      </c>
      <c r="G194" s="3" t="n">
        <v>7</v>
      </c>
      <c r="H194" s="3" t="n">
        <v>7.4</v>
      </c>
      <c r="I194" s="3" t="n">
        <v>0</v>
      </c>
      <c r="J194" s="4" t="n">
        <v>15</v>
      </c>
      <c r="K194" s="4" t="n">
        <f aca="false">IF(H194&gt;8,8,H194)*J194</f>
        <v>111</v>
      </c>
      <c r="L194" s="4" t="n">
        <f aca="false">I194*J194*1.5</f>
        <v>0</v>
      </c>
      <c r="M194" s="4" t="n">
        <f aca="false">K194+L194</f>
        <v>111</v>
      </c>
    </row>
    <row r="195" customFormat="false" ht="15" hidden="false" customHeight="false" outlineLevel="0" collapsed="false">
      <c r="A195" s="3" t="s">
        <v>357</v>
      </c>
      <c r="B195" s="3" t="s">
        <v>358</v>
      </c>
      <c r="C195" s="3" t="s">
        <v>359</v>
      </c>
      <c r="D195" s="2" t="n">
        <v>46111</v>
      </c>
      <c r="E195" s="3" t="s">
        <v>271</v>
      </c>
      <c r="F195" s="3" t="s">
        <v>256</v>
      </c>
      <c r="G195" s="3" t="n">
        <v>8</v>
      </c>
      <c r="H195" s="3" t="n">
        <v>9.4</v>
      </c>
      <c r="I195" s="3" t="n">
        <v>1.4</v>
      </c>
      <c r="J195" s="4" t="n">
        <v>15</v>
      </c>
      <c r="K195" s="4" t="n">
        <f aca="false">IF(H195&gt;8,8,H195)*J195</f>
        <v>120</v>
      </c>
      <c r="L195" s="4" t="n">
        <f aca="false">I195*J195*1.5</f>
        <v>31.5</v>
      </c>
      <c r="M195" s="4" t="n">
        <f aca="false">K195+L195</f>
        <v>151.5</v>
      </c>
    </row>
    <row r="196" customFormat="false" ht="15" hidden="false" customHeight="false" outlineLevel="0" collapsed="false">
      <c r="A196" s="3" t="s">
        <v>367</v>
      </c>
      <c r="B196" s="3" t="s">
        <v>368</v>
      </c>
      <c r="C196" s="3" t="s">
        <v>369</v>
      </c>
      <c r="D196" s="2" t="n">
        <v>46082</v>
      </c>
      <c r="E196" s="3" t="s">
        <v>328</v>
      </c>
      <c r="F196" s="3" t="s">
        <v>344</v>
      </c>
      <c r="G196" s="3" t="n">
        <v>6</v>
      </c>
      <c r="H196" s="3" t="n">
        <v>6.4</v>
      </c>
      <c r="I196" s="3" t="n">
        <v>0</v>
      </c>
      <c r="J196" s="4" t="n">
        <v>13.5</v>
      </c>
      <c r="K196" s="4" t="n">
        <f aca="false">IF(H196&gt;8,8,H196)*J196</f>
        <v>86.4</v>
      </c>
      <c r="L196" s="4" t="n">
        <f aca="false">I196*J196*1.5</f>
        <v>0</v>
      </c>
      <c r="M196" s="4" t="n">
        <f aca="false">K196+L196</f>
        <v>86.4</v>
      </c>
    </row>
    <row r="197" customFormat="false" ht="15" hidden="false" customHeight="false" outlineLevel="0" collapsed="false">
      <c r="A197" s="3" t="s">
        <v>367</v>
      </c>
      <c r="B197" s="3" t="s">
        <v>368</v>
      </c>
      <c r="C197" s="3" t="s">
        <v>369</v>
      </c>
      <c r="D197" s="2" t="n">
        <v>46083</v>
      </c>
      <c r="E197" s="3" t="s">
        <v>330</v>
      </c>
      <c r="F197" s="3" t="s">
        <v>317</v>
      </c>
      <c r="G197" s="3" t="n">
        <v>7</v>
      </c>
      <c r="H197" s="3" t="n">
        <v>7.6</v>
      </c>
      <c r="I197" s="3" t="n">
        <v>0</v>
      </c>
      <c r="J197" s="4" t="n">
        <v>13.5</v>
      </c>
      <c r="K197" s="4" t="n">
        <f aca="false">IF(H197&gt;8,8,H197)*J197</f>
        <v>102.6</v>
      </c>
      <c r="L197" s="4" t="n">
        <f aca="false">I197*J197*1.5</f>
        <v>0</v>
      </c>
      <c r="M197" s="4" t="n">
        <f aca="false">K197+L197</f>
        <v>102.6</v>
      </c>
    </row>
    <row r="198" customFormat="false" ht="15" hidden="false" customHeight="false" outlineLevel="0" collapsed="false">
      <c r="A198" s="3" t="s">
        <v>367</v>
      </c>
      <c r="B198" s="3" t="s">
        <v>368</v>
      </c>
      <c r="C198" s="3" t="s">
        <v>369</v>
      </c>
      <c r="D198" s="2" t="n">
        <v>46084</v>
      </c>
      <c r="E198" s="3" t="s">
        <v>353</v>
      </c>
      <c r="F198" s="3" t="s">
        <v>66</v>
      </c>
      <c r="G198" s="3" t="n">
        <v>7</v>
      </c>
      <c r="H198" s="3" t="n">
        <v>7.5</v>
      </c>
      <c r="I198" s="3" t="n">
        <v>0</v>
      </c>
      <c r="J198" s="4" t="n">
        <v>13.5</v>
      </c>
      <c r="K198" s="4" t="n">
        <f aca="false">IF(H198&gt;8,8,H198)*J198</f>
        <v>101.25</v>
      </c>
      <c r="L198" s="4" t="n">
        <f aca="false">I198*J198*1.5</f>
        <v>0</v>
      </c>
      <c r="M198" s="4" t="n">
        <f aca="false">K198+L198</f>
        <v>101.25</v>
      </c>
    </row>
    <row r="199" customFormat="false" ht="15" hidden="false" customHeight="false" outlineLevel="0" collapsed="false">
      <c r="A199" s="3" t="s">
        <v>367</v>
      </c>
      <c r="B199" s="3" t="s">
        <v>368</v>
      </c>
      <c r="C199" s="3" t="s">
        <v>369</v>
      </c>
      <c r="D199" s="2" t="n">
        <v>46085</v>
      </c>
      <c r="E199" s="3" t="s">
        <v>332</v>
      </c>
      <c r="F199" s="3" t="s">
        <v>147</v>
      </c>
      <c r="G199" s="3" t="n">
        <v>6</v>
      </c>
      <c r="H199" s="3" t="n">
        <v>6.5</v>
      </c>
      <c r="I199" s="3" t="n">
        <v>0</v>
      </c>
      <c r="J199" s="4" t="n">
        <v>13.5</v>
      </c>
      <c r="K199" s="4" t="n">
        <f aca="false">IF(H199&gt;8,8,H199)*J199</f>
        <v>87.75</v>
      </c>
      <c r="L199" s="4" t="n">
        <f aca="false">I199*J199*1.5</f>
        <v>0</v>
      </c>
      <c r="M199" s="4" t="n">
        <f aca="false">K199+L199</f>
        <v>87.75</v>
      </c>
    </row>
    <row r="200" customFormat="false" ht="15" hidden="false" customHeight="false" outlineLevel="0" collapsed="false">
      <c r="A200" s="3" t="s">
        <v>367</v>
      </c>
      <c r="B200" s="3" t="s">
        <v>368</v>
      </c>
      <c r="C200" s="3" t="s">
        <v>369</v>
      </c>
      <c r="D200" s="2" t="n">
        <v>46086</v>
      </c>
      <c r="E200" s="3" t="s">
        <v>345</v>
      </c>
      <c r="F200" s="3" t="s">
        <v>54</v>
      </c>
      <c r="G200" s="3" t="n">
        <v>8</v>
      </c>
      <c r="H200" s="3" t="n">
        <v>9</v>
      </c>
      <c r="I200" s="3" t="n">
        <v>1</v>
      </c>
      <c r="J200" s="4" t="n">
        <v>13.5</v>
      </c>
      <c r="K200" s="4" t="n">
        <f aca="false">IF(H200&gt;8,8,H200)*J200</f>
        <v>108</v>
      </c>
      <c r="L200" s="4" t="n">
        <f aca="false">I200*J200*1.5</f>
        <v>20.25</v>
      </c>
      <c r="M200" s="4" t="n">
        <f aca="false">K200+L200</f>
        <v>128.25</v>
      </c>
    </row>
    <row r="201" customFormat="false" ht="15" hidden="false" customHeight="false" outlineLevel="0" collapsed="false">
      <c r="A201" s="3" t="s">
        <v>367</v>
      </c>
      <c r="B201" s="3" t="s">
        <v>368</v>
      </c>
      <c r="C201" s="3" t="s">
        <v>369</v>
      </c>
      <c r="D201" s="2" t="n">
        <v>46087</v>
      </c>
      <c r="E201" s="3" t="s">
        <v>332</v>
      </c>
      <c r="F201" s="3" t="s">
        <v>370</v>
      </c>
      <c r="G201" s="3" t="n">
        <v>6</v>
      </c>
      <c r="H201" s="3" t="n">
        <v>7.3</v>
      </c>
      <c r="I201" s="3" t="n">
        <v>0</v>
      </c>
      <c r="J201" s="4" t="n">
        <v>13.5</v>
      </c>
      <c r="K201" s="4" t="n">
        <f aca="false">IF(H201&gt;8,8,H201)*J201</f>
        <v>98.55</v>
      </c>
      <c r="L201" s="4" t="n">
        <f aca="false">I201*J201*1.5</f>
        <v>0</v>
      </c>
      <c r="M201" s="4" t="n">
        <f aca="false">K201+L201</f>
        <v>98.55</v>
      </c>
    </row>
    <row r="202" customFormat="false" ht="15" hidden="false" customHeight="false" outlineLevel="0" collapsed="false">
      <c r="A202" s="3" t="s">
        <v>367</v>
      </c>
      <c r="B202" s="3" t="s">
        <v>368</v>
      </c>
      <c r="C202" s="3" t="s">
        <v>369</v>
      </c>
      <c r="D202" s="2" t="n">
        <v>46089</v>
      </c>
      <c r="E202" s="3" t="s">
        <v>330</v>
      </c>
      <c r="F202" s="3" t="s">
        <v>264</v>
      </c>
      <c r="G202" s="3" t="n">
        <v>8</v>
      </c>
      <c r="H202" s="3" t="n">
        <v>9.2</v>
      </c>
      <c r="I202" s="3" t="n">
        <v>1.2</v>
      </c>
      <c r="J202" s="4" t="n">
        <v>13.5</v>
      </c>
      <c r="K202" s="4" t="n">
        <f aca="false">IF(H202&gt;8,8,H202)*J202</f>
        <v>108</v>
      </c>
      <c r="L202" s="4" t="n">
        <f aca="false">I202*J202*1.5</f>
        <v>24.3</v>
      </c>
      <c r="M202" s="4" t="n">
        <f aca="false">K202+L202</f>
        <v>132.3</v>
      </c>
    </row>
    <row r="203" customFormat="false" ht="15" hidden="false" customHeight="false" outlineLevel="0" collapsed="false">
      <c r="A203" s="3" t="s">
        <v>367</v>
      </c>
      <c r="B203" s="3" t="s">
        <v>368</v>
      </c>
      <c r="C203" s="3" t="s">
        <v>369</v>
      </c>
      <c r="D203" s="2" t="n">
        <v>46091</v>
      </c>
      <c r="E203" s="3" t="s">
        <v>330</v>
      </c>
      <c r="F203" s="3" t="s">
        <v>371</v>
      </c>
      <c r="G203" s="3" t="n">
        <v>8</v>
      </c>
      <c r="H203" s="3" t="n">
        <v>8.7</v>
      </c>
      <c r="I203" s="3" t="n">
        <v>0.7</v>
      </c>
      <c r="J203" s="4" t="n">
        <v>13.5</v>
      </c>
      <c r="K203" s="4" t="n">
        <f aca="false">IF(H203&gt;8,8,H203)*J203</f>
        <v>108</v>
      </c>
      <c r="L203" s="4" t="n">
        <f aca="false">I203*J203*1.5</f>
        <v>14.175</v>
      </c>
      <c r="M203" s="4" t="n">
        <f aca="false">K203+L203</f>
        <v>122.175</v>
      </c>
    </row>
    <row r="204" customFormat="false" ht="15" hidden="false" customHeight="false" outlineLevel="0" collapsed="false">
      <c r="A204" s="3" t="s">
        <v>367</v>
      </c>
      <c r="B204" s="3" t="s">
        <v>368</v>
      </c>
      <c r="C204" s="3" t="s">
        <v>369</v>
      </c>
      <c r="D204" s="2" t="n">
        <v>46092</v>
      </c>
      <c r="E204" s="3" t="s">
        <v>328</v>
      </c>
      <c r="F204" s="3" t="s">
        <v>324</v>
      </c>
      <c r="G204" s="3" t="n">
        <v>8</v>
      </c>
      <c r="H204" s="3" t="n">
        <v>9.4</v>
      </c>
      <c r="I204" s="3" t="n">
        <v>1.4</v>
      </c>
      <c r="J204" s="4" t="n">
        <v>13.5</v>
      </c>
      <c r="K204" s="4" t="n">
        <f aca="false">IF(H204&gt;8,8,H204)*J204</f>
        <v>108</v>
      </c>
      <c r="L204" s="4" t="n">
        <f aca="false">I204*J204*1.5</f>
        <v>28.35</v>
      </c>
      <c r="M204" s="4" t="n">
        <f aca="false">K204+L204</f>
        <v>136.35</v>
      </c>
    </row>
    <row r="205" customFormat="false" ht="15" hidden="false" customHeight="false" outlineLevel="0" collapsed="false">
      <c r="A205" s="3" t="s">
        <v>367</v>
      </c>
      <c r="B205" s="3" t="s">
        <v>368</v>
      </c>
      <c r="C205" s="3" t="s">
        <v>369</v>
      </c>
      <c r="D205" s="2" t="n">
        <v>46093</v>
      </c>
      <c r="E205" s="3" t="s">
        <v>332</v>
      </c>
      <c r="F205" s="3" t="s">
        <v>363</v>
      </c>
      <c r="G205" s="3" t="n">
        <v>8</v>
      </c>
      <c r="H205" s="3" t="n">
        <v>9.1</v>
      </c>
      <c r="I205" s="3" t="n">
        <v>1.1</v>
      </c>
      <c r="J205" s="4" t="n">
        <v>13.5</v>
      </c>
      <c r="K205" s="4" t="n">
        <f aca="false">IF(H205&gt;8,8,H205)*J205</f>
        <v>108</v>
      </c>
      <c r="L205" s="4" t="n">
        <f aca="false">I205*J205*1.5</f>
        <v>22.275</v>
      </c>
      <c r="M205" s="4" t="n">
        <f aca="false">K205+L205</f>
        <v>130.275</v>
      </c>
    </row>
    <row r="206" customFormat="false" ht="15" hidden="false" customHeight="false" outlineLevel="0" collapsed="false">
      <c r="A206" s="3" t="s">
        <v>367</v>
      </c>
      <c r="B206" s="3" t="s">
        <v>368</v>
      </c>
      <c r="C206" s="3" t="s">
        <v>369</v>
      </c>
      <c r="D206" s="2" t="n">
        <v>46094</v>
      </c>
      <c r="E206" s="3" t="s">
        <v>353</v>
      </c>
      <c r="F206" s="3" t="s">
        <v>364</v>
      </c>
      <c r="G206" s="3" t="n">
        <v>7</v>
      </c>
      <c r="H206" s="3" t="n">
        <v>8.2</v>
      </c>
      <c r="I206" s="3" t="n">
        <v>0.2</v>
      </c>
      <c r="J206" s="4" t="n">
        <v>13.5</v>
      </c>
      <c r="K206" s="4" t="n">
        <f aca="false">IF(H206&gt;8,8,H206)*J206</f>
        <v>108</v>
      </c>
      <c r="L206" s="4" t="n">
        <f aca="false">I206*J206*1.5</f>
        <v>4.05</v>
      </c>
      <c r="M206" s="4" t="n">
        <f aca="false">K206+L206</f>
        <v>112.05</v>
      </c>
    </row>
    <row r="207" customFormat="false" ht="15" hidden="false" customHeight="false" outlineLevel="0" collapsed="false">
      <c r="A207" s="3" t="s">
        <v>367</v>
      </c>
      <c r="B207" s="3" t="s">
        <v>368</v>
      </c>
      <c r="C207" s="3" t="s">
        <v>369</v>
      </c>
      <c r="D207" s="2" t="n">
        <v>46096</v>
      </c>
      <c r="E207" s="3" t="s">
        <v>332</v>
      </c>
      <c r="F207" s="3" t="s">
        <v>372</v>
      </c>
      <c r="G207" s="3" t="n">
        <v>6</v>
      </c>
      <c r="H207" s="3" t="n">
        <v>6.3</v>
      </c>
      <c r="I207" s="3" t="n">
        <v>0</v>
      </c>
      <c r="J207" s="4" t="n">
        <v>13.5</v>
      </c>
      <c r="K207" s="4" t="n">
        <f aca="false">IF(H207&gt;8,8,H207)*J207</f>
        <v>85.05</v>
      </c>
      <c r="L207" s="4" t="n">
        <f aca="false">I207*J207*1.5</f>
        <v>0</v>
      </c>
      <c r="M207" s="4" t="n">
        <f aca="false">K207+L207</f>
        <v>85.05</v>
      </c>
    </row>
    <row r="208" customFormat="false" ht="15" hidden="false" customHeight="false" outlineLevel="0" collapsed="false">
      <c r="A208" s="3" t="s">
        <v>367</v>
      </c>
      <c r="B208" s="3" t="s">
        <v>368</v>
      </c>
      <c r="C208" s="3" t="s">
        <v>369</v>
      </c>
      <c r="D208" s="2" t="n">
        <v>46097</v>
      </c>
      <c r="E208" s="3" t="s">
        <v>331</v>
      </c>
      <c r="F208" s="3" t="s">
        <v>349</v>
      </c>
      <c r="G208" s="3" t="n">
        <v>7</v>
      </c>
      <c r="H208" s="3" t="n">
        <v>6.6</v>
      </c>
      <c r="I208" s="3" t="n">
        <v>0</v>
      </c>
      <c r="J208" s="4" t="n">
        <v>13.5</v>
      </c>
      <c r="K208" s="4" t="n">
        <f aca="false">IF(H208&gt;8,8,H208)*J208</f>
        <v>89.1</v>
      </c>
      <c r="L208" s="4" t="n">
        <f aca="false">I208*J208*1.5</f>
        <v>0</v>
      </c>
      <c r="M208" s="4" t="n">
        <f aca="false">K208+L208</f>
        <v>89.1</v>
      </c>
    </row>
    <row r="209" customFormat="false" ht="15" hidden="false" customHeight="false" outlineLevel="0" collapsed="false">
      <c r="A209" s="3" t="s">
        <v>367</v>
      </c>
      <c r="B209" s="3" t="s">
        <v>368</v>
      </c>
      <c r="C209" s="3" t="s">
        <v>369</v>
      </c>
      <c r="D209" s="2" t="n">
        <v>46098</v>
      </c>
      <c r="E209" s="3" t="s">
        <v>331</v>
      </c>
      <c r="F209" s="3" t="s">
        <v>373</v>
      </c>
      <c r="G209" s="3" t="n">
        <v>6</v>
      </c>
      <c r="H209" s="3" t="n">
        <v>7.1</v>
      </c>
      <c r="I209" s="3" t="n">
        <v>0</v>
      </c>
      <c r="J209" s="4" t="n">
        <v>13.5</v>
      </c>
      <c r="K209" s="4" t="n">
        <f aca="false">IF(H209&gt;8,8,H209)*J209</f>
        <v>95.85</v>
      </c>
      <c r="L209" s="4" t="n">
        <f aca="false">I209*J209*1.5</f>
        <v>0</v>
      </c>
      <c r="M209" s="4" t="n">
        <f aca="false">K209+L209</f>
        <v>95.85</v>
      </c>
    </row>
    <row r="210" customFormat="false" ht="15" hidden="false" customHeight="false" outlineLevel="0" collapsed="false">
      <c r="A210" s="3" t="s">
        <v>367</v>
      </c>
      <c r="B210" s="3" t="s">
        <v>368</v>
      </c>
      <c r="C210" s="3" t="s">
        <v>369</v>
      </c>
      <c r="D210" s="2" t="n">
        <v>46100</v>
      </c>
      <c r="E210" s="3" t="s">
        <v>271</v>
      </c>
      <c r="F210" s="3" t="s">
        <v>101</v>
      </c>
      <c r="G210" s="3" t="n">
        <v>7</v>
      </c>
      <c r="H210" s="3" t="n">
        <v>8.5</v>
      </c>
      <c r="I210" s="3" t="n">
        <v>0.5</v>
      </c>
      <c r="J210" s="4" t="n">
        <v>13.5</v>
      </c>
      <c r="K210" s="4" t="n">
        <f aca="false">IF(H210&gt;8,8,H210)*J210</f>
        <v>108</v>
      </c>
      <c r="L210" s="4" t="n">
        <f aca="false">I210*J210*1.5</f>
        <v>10.125</v>
      </c>
      <c r="M210" s="4" t="n">
        <f aca="false">K210+L210</f>
        <v>118.125</v>
      </c>
    </row>
    <row r="211" customFormat="false" ht="15" hidden="false" customHeight="false" outlineLevel="0" collapsed="false">
      <c r="A211" s="3" t="s">
        <v>367</v>
      </c>
      <c r="B211" s="3" t="s">
        <v>368</v>
      </c>
      <c r="C211" s="3" t="s">
        <v>369</v>
      </c>
      <c r="D211" s="2" t="n">
        <v>46103</v>
      </c>
      <c r="E211" s="3" t="s">
        <v>345</v>
      </c>
      <c r="F211" s="3" t="s">
        <v>374</v>
      </c>
      <c r="G211" s="3" t="n">
        <v>6</v>
      </c>
      <c r="H211" s="3" t="n">
        <v>5.8</v>
      </c>
      <c r="I211" s="3" t="n">
        <v>0</v>
      </c>
      <c r="J211" s="4" t="n">
        <v>13.5</v>
      </c>
      <c r="K211" s="4" t="n">
        <f aca="false">IF(H211&gt;8,8,H211)*J211</f>
        <v>78.3</v>
      </c>
      <c r="L211" s="4" t="n">
        <f aca="false">I211*J211*1.5</f>
        <v>0</v>
      </c>
      <c r="M211" s="4" t="n">
        <f aca="false">K211+L211</f>
        <v>78.3</v>
      </c>
    </row>
    <row r="212" customFormat="false" ht="15" hidden="false" customHeight="false" outlineLevel="0" collapsed="false">
      <c r="A212" s="3" t="s">
        <v>367</v>
      </c>
      <c r="B212" s="3" t="s">
        <v>368</v>
      </c>
      <c r="C212" s="3" t="s">
        <v>369</v>
      </c>
      <c r="D212" s="2" t="n">
        <v>46105</v>
      </c>
      <c r="E212" s="3" t="s">
        <v>331</v>
      </c>
      <c r="F212" s="3" t="s">
        <v>92</v>
      </c>
      <c r="G212" s="3" t="n">
        <v>8</v>
      </c>
      <c r="H212" s="3" t="n">
        <v>8</v>
      </c>
      <c r="I212" s="3" t="n">
        <v>0</v>
      </c>
      <c r="J212" s="4" t="n">
        <v>13.5</v>
      </c>
      <c r="K212" s="4" t="n">
        <f aca="false">IF(H212&gt;8,8,H212)*J212</f>
        <v>108</v>
      </c>
      <c r="L212" s="4" t="n">
        <f aca="false">I212*J212*1.5</f>
        <v>0</v>
      </c>
      <c r="M212" s="4" t="n">
        <f aca="false">K212+L212</f>
        <v>108</v>
      </c>
    </row>
    <row r="213" customFormat="false" ht="15" hidden="false" customHeight="false" outlineLevel="0" collapsed="false">
      <c r="A213" s="3" t="s">
        <v>367</v>
      </c>
      <c r="B213" s="3" t="s">
        <v>368</v>
      </c>
      <c r="C213" s="3" t="s">
        <v>369</v>
      </c>
      <c r="D213" s="2" t="n">
        <v>46107</v>
      </c>
      <c r="E213" s="3" t="s">
        <v>339</v>
      </c>
      <c r="F213" s="3" t="s">
        <v>365</v>
      </c>
      <c r="G213" s="3" t="n">
        <v>8</v>
      </c>
      <c r="H213" s="3" t="n">
        <v>8.4</v>
      </c>
      <c r="I213" s="3" t="n">
        <v>0.4</v>
      </c>
      <c r="J213" s="4" t="n">
        <v>13.5</v>
      </c>
      <c r="K213" s="4" t="n">
        <f aca="false">IF(H213&gt;8,8,H213)*J213</f>
        <v>108</v>
      </c>
      <c r="L213" s="4" t="n">
        <f aca="false">I213*J213*1.5</f>
        <v>8.1</v>
      </c>
      <c r="M213" s="4" t="n">
        <f aca="false">K213+L213</f>
        <v>116.1</v>
      </c>
    </row>
    <row r="214" customFormat="false" ht="15" hidden="false" customHeight="false" outlineLevel="0" collapsed="false">
      <c r="A214" s="3" t="s">
        <v>367</v>
      </c>
      <c r="B214" s="3" t="s">
        <v>368</v>
      </c>
      <c r="C214" s="3" t="s">
        <v>369</v>
      </c>
      <c r="D214" s="2" t="n">
        <v>46108</v>
      </c>
      <c r="E214" s="3" t="s">
        <v>332</v>
      </c>
      <c r="F214" s="3" t="s">
        <v>363</v>
      </c>
      <c r="G214" s="3" t="n">
        <v>8</v>
      </c>
      <c r="H214" s="3" t="n">
        <v>9.1</v>
      </c>
      <c r="I214" s="3" t="n">
        <v>1.1</v>
      </c>
      <c r="J214" s="4" t="n">
        <v>13.5</v>
      </c>
      <c r="K214" s="4" t="n">
        <f aca="false">IF(H214&gt;8,8,H214)*J214</f>
        <v>108</v>
      </c>
      <c r="L214" s="4" t="n">
        <f aca="false">I214*J214*1.5</f>
        <v>22.275</v>
      </c>
      <c r="M214" s="4" t="n">
        <f aca="false">K214+L214</f>
        <v>130.275</v>
      </c>
    </row>
    <row r="215" customFormat="false" ht="15" hidden="false" customHeight="false" outlineLevel="0" collapsed="false">
      <c r="A215" s="3" t="s">
        <v>367</v>
      </c>
      <c r="B215" s="3" t="s">
        <v>368</v>
      </c>
      <c r="C215" s="3" t="s">
        <v>369</v>
      </c>
      <c r="D215" s="2" t="n">
        <v>46109</v>
      </c>
      <c r="E215" s="3" t="s">
        <v>353</v>
      </c>
      <c r="F215" s="3" t="s">
        <v>354</v>
      </c>
      <c r="G215" s="3" t="n">
        <v>7</v>
      </c>
      <c r="H215" s="3" t="n">
        <v>7.3</v>
      </c>
      <c r="I215" s="3" t="n">
        <v>0</v>
      </c>
      <c r="J215" s="4" t="n">
        <v>13.5</v>
      </c>
      <c r="K215" s="4" t="n">
        <f aca="false">IF(H215&gt;8,8,H215)*J215</f>
        <v>98.55</v>
      </c>
      <c r="L215" s="4" t="n">
        <f aca="false">I215*J215*1.5</f>
        <v>0</v>
      </c>
      <c r="M215" s="4" t="n">
        <f aca="false">K215+L215</f>
        <v>98.55</v>
      </c>
    </row>
    <row r="216" customFormat="false" ht="15" hidden="false" customHeight="false" outlineLevel="0" collapsed="false">
      <c r="A216" s="3" t="s">
        <v>367</v>
      </c>
      <c r="B216" s="3" t="s">
        <v>368</v>
      </c>
      <c r="C216" s="3" t="s">
        <v>369</v>
      </c>
      <c r="D216" s="2" t="n">
        <v>46110</v>
      </c>
      <c r="E216" s="3" t="s">
        <v>353</v>
      </c>
      <c r="F216" s="3" t="s">
        <v>192</v>
      </c>
      <c r="G216" s="3" t="n">
        <v>6</v>
      </c>
      <c r="H216" s="3" t="n">
        <v>6.5</v>
      </c>
      <c r="I216" s="3" t="n">
        <v>0</v>
      </c>
      <c r="J216" s="4" t="n">
        <v>13.5</v>
      </c>
      <c r="K216" s="4" t="n">
        <f aca="false">IF(H216&gt;8,8,H216)*J216</f>
        <v>87.75</v>
      </c>
      <c r="L216" s="4" t="n">
        <f aca="false">I216*J216*1.5</f>
        <v>0</v>
      </c>
      <c r="M216" s="4" t="n">
        <f aca="false">K216+L216</f>
        <v>87.75</v>
      </c>
    </row>
    <row r="217" customFormat="false" ht="15" hidden="false" customHeight="false" outlineLevel="0" collapsed="false">
      <c r="A217" s="3" t="s">
        <v>367</v>
      </c>
      <c r="B217" s="3" t="s">
        <v>368</v>
      </c>
      <c r="C217" s="3" t="s">
        <v>369</v>
      </c>
      <c r="D217" s="2" t="n">
        <v>46112</v>
      </c>
      <c r="E217" s="3" t="s">
        <v>330</v>
      </c>
      <c r="F217" s="3" t="s">
        <v>375</v>
      </c>
      <c r="G217" s="3" t="n">
        <v>7</v>
      </c>
      <c r="H217" s="3" t="n">
        <v>8.2</v>
      </c>
      <c r="I217" s="3" t="n">
        <v>0.2</v>
      </c>
      <c r="J217" s="4" t="n">
        <v>13.5</v>
      </c>
      <c r="K217" s="4" t="n">
        <f aca="false">IF(H217&gt;8,8,H217)*J217</f>
        <v>108</v>
      </c>
      <c r="L217" s="4" t="n">
        <f aca="false">I217*J217*1.5</f>
        <v>4.05</v>
      </c>
      <c r="M217" s="4" t="n">
        <f aca="false">K217+L217</f>
        <v>112.05</v>
      </c>
    </row>
    <row r="218" customFormat="false" ht="15" hidden="false" customHeight="false" outlineLevel="0" collapsed="false">
      <c r="A218" s="3" t="s">
        <v>376</v>
      </c>
      <c r="B218" s="3" t="s">
        <v>377</v>
      </c>
      <c r="C218" s="3" t="s">
        <v>378</v>
      </c>
      <c r="D218" s="2" t="n">
        <v>46082</v>
      </c>
      <c r="E218" s="3" t="s">
        <v>332</v>
      </c>
      <c r="F218" s="3" t="s">
        <v>333</v>
      </c>
      <c r="G218" s="3" t="n">
        <v>7</v>
      </c>
      <c r="H218" s="3" t="n">
        <v>8.2</v>
      </c>
      <c r="I218" s="3" t="n">
        <v>0.2</v>
      </c>
      <c r="J218" s="4" t="n">
        <v>20</v>
      </c>
      <c r="K218" s="4" t="n">
        <f aca="false">IF(H218&gt;8,8,H218)*J218</f>
        <v>160</v>
      </c>
      <c r="L218" s="4" t="n">
        <f aca="false">I218*J218*1.5</f>
        <v>6</v>
      </c>
      <c r="M218" s="4" t="n">
        <f aca="false">K218+L218</f>
        <v>166</v>
      </c>
    </row>
    <row r="219" customFormat="false" ht="15" hidden="false" customHeight="false" outlineLevel="0" collapsed="false">
      <c r="A219" s="3" t="s">
        <v>376</v>
      </c>
      <c r="B219" s="3" t="s">
        <v>377</v>
      </c>
      <c r="C219" s="3" t="s">
        <v>378</v>
      </c>
      <c r="D219" s="2" t="n">
        <v>46083</v>
      </c>
      <c r="E219" s="3" t="s">
        <v>263</v>
      </c>
      <c r="F219" s="3" t="s">
        <v>290</v>
      </c>
      <c r="G219" s="3" t="n">
        <v>8</v>
      </c>
      <c r="H219" s="3" t="n">
        <v>9.1</v>
      </c>
      <c r="I219" s="3" t="n">
        <v>1.1</v>
      </c>
      <c r="J219" s="4" t="n">
        <v>20</v>
      </c>
      <c r="K219" s="4" t="n">
        <f aca="false">IF(H219&gt;8,8,H219)*J219</f>
        <v>160</v>
      </c>
      <c r="L219" s="4" t="n">
        <f aca="false">I219*J219*1.5</f>
        <v>33</v>
      </c>
      <c r="M219" s="4" t="n">
        <f aca="false">K219+L219</f>
        <v>193</v>
      </c>
    </row>
    <row r="220" customFormat="false" ht="15" hidden="false" customHeight="false" outlineLevel="0" collapsed="false">
      <c r="A220" s="3" t="s">
        <v>376</v>
      </c>
      <c r="B220" s="3" t="s">
        <v>377</v>
      </c>
      <c r="C220" s="3" t="s">
        <v>378</v>
      </c>
      <c r="D220" s="2" t="n">
        <v>46085</v>
      </c>
      <c r="E220" s="3" t="s">
        <v>328</v>
      </c>
      <c r="F220" s="3" t="s">
        <v>297</v>
      </c>
      <c r="G220" s="3" t="n">
        <v>7</v>
      </c>
      <c r="H220" s="3" t="n">
        <v>7.3</v>
      </c>
      <c r="I220" s="3" t="n">
        <v>0</v>
      </c>
      <c r="J220" s="4" t="n">
        <v>20</v>
      </c>
      <c r="K220" s="4" t="n">
        <f aca="false">IF(H220&gt;8,8,H220)*J220</f>
        <v>146</v>
      </c>
      <c r="L220" s="4" t="n">
        <f aca="false">I220*J220*1.5</f>
        <v>0</v>
      </c>
      <c r="M220" s="4" t="n">
        <f aca="false">K220+L220</f>
        <v>146</v>
      </c>
    </row>
    <row r="221" customFormat="false" ht="15" hidden="false" customHeight="false" outlineLevel="0" collapsed="false">
      <c r="A221" s="3" t="s">
        <v>376</v>
      </c>
      <c r="B221" s="3" t="s">
        <v>377</v>
      </c>
      <c r="C221" s="3" t="s">
        <v>378</v>
      </c>
      <c r="D221" s="2" t="n">
        <v>46087</v>
      </c>
      <c r="E221" s="3" t="s">
        <v>263</v>
      </c>
      <c r="F221" s="3" t="s">
        <v>311</v>
      </c>
      <c r="G221" s="3" t="n">
        <v>8</v>
      </c>
      <c r="H221" s="3" t="n">
        <v>9.2</v>
      </c>
      <c r="I221" s="3" t="n">
        <v>1.2</v>
      </c>
      <c r="J221" s="4" t="n">
        <v>20</v>
      </c>
      <c r="K221" s="4" t="n">
        <f aca="false">IF(H221&gt;8,8,H221)*J221</f>
        <v>160</v>
      </c>
      <c r="L221" s="4" t="n">
        <f aca="false">I221*J221*1.5</f>
        <v>36</v>
      </c>
      <c r="M221" s="4" t="n">
        <f aca="false">K221+L221</f>
        <v>196</v>
      </c>
    </row>
    <row r="222" customFormat="false" ht="15" hidden="false" customHeight="false" outlineLevel="0" collapsed="false">
      <c r="A222" s="3" t="s">
        <v>376</v>
      </c>
      <c r="B222" s="3" t="s">
        <v>377</v>
      </c>
      <c r="C222" s="3" t="s">
        <v>378</v>
      </c>
      <c r="D222" s="2" t="n">
        <v>46088</v>
      </c>
      <c r="E222" s="3" t="s">
        <v>353</v>
      </c>
      <c r="F222" s="3" t="s">
        <v>363</v>
      </c>
      <c r="G222" s="3" t="n">
        <v>7</v>
      </c>
      <c r="H222" s="3" t="n">
        <v>8.1</v>
      </c>
      <c r="I222" s="3" t="n">
        <v>0.1</v>
      </c>
      <c r="J222" s="4" t="n">
        <v>20</v>
      </c>
      <c r="K222" s="4" t="n">
        <f aca="false">IF(H222&gt;8,8,H222)*J222</f>
        <v>160</v>
      </c>
      <c r="L222" s="4" t="n">
        <f aca="false">I222*J222*1.5</f>
        <v>3</v>
      </c>
      <c r="M222" s="4" t="n">
        <f aca="false">K222+L222</f>
        <v>163</v>
      </c>
    </row>
    <row r="223" customFormat="false" ht="15" hidden="false" customHeight="false" outlineLevel="0" collapsed="false">
      <c r="A223" s="3" t="s">
        <v>376</v>
      </c>
      <c r="B223" s="3" t="s">
        <v>377</v>
      </c>
      <c r="C223" s="3" t="s">
        <v>378</v>
      </c>
      <c r="D223" s="2" t="n">
        <v>46089</v>
      </c>
      <c r="E223" s="3" t="s">
        <v>271</v>
      </c>
      <c r="F223" s="3" t="s">
        <v>54</v>
      </c>
      <c r="G223" s="3" t="n">
        <v>7</v>
      </c>
      <c r="H223" s="3" t="n">
        <v>7</v>
      </c>
      <c r="I223" s="3" t="n">
        <v>0</v>
      </c>
      <c r="J223" s="4" t="n">
        <v>20</v>
      </c>
      <c r="K223" s="4" t="n">
        <f aca="false">IF(H223&gt;8,8,H223)*J223</f>
        <v>140</v>
      </c>
      <c r="L223" s="4" t="n">
        <f aca="false">I223*J223*1.5</f>
        <v>0</v>
      </c>
      <c r="M223" s="4" t="n">
        <f aca="false">K223+L223</f>
        <v>140</v>
      </c>
    </row>
    <row r="224" customFormat="false" ht="15" hidden="false" customHeight="false" outlineLevel="0" collapsed="false">
      <c r="A224" s="3" t="s">
        <v>376</v>
      </c>
      <c r="B224" s="3" t="s">
        <v>377</v>
      </c>
      <c r="C224" s="3" t="s">
        <v>378</v>
      </c>
      <c r="D224" s="2" t="n">
        <v>46091</v>
      </c>
      <c r="E224" s="3" t="s">
        <v>271</v>
      </c>
      <c r="F224" s="3" t="s">
        <v>365</v>
      </c>
      <c r="G224" s="3" t="n">
        <v>6</v>
      </c>
      <c r="H224" s="3" t="n">
        <v>6.4</v>
      </c>
      <c r="I224" s="3" t="n">
        <v>0</v>
      </c>
      <c r="J224" s="4" t="n">
        <v>20</v>
      </c>
      <c r="K224" s="4" t="n">
        <f aca="false">IF(H224&gt;8,8,H224)*J224</f>
        <v>128</v>
      </c>
      <c r="L224" s="4" t="n">
        <f aca="false">I224*J224*1.5</f>
        <v>0</v>
      </c>
      <c r="M224" s="4" t="n">
        <f aca="false">K224+L224</f>
        <v>128</v>
      </c>
    </row>
    <row r="225" customFormat="false" ht="15" hidden="false" customHeight="false" outlineLevel="0" collapsed="false">
      <c r="A225" s="3" t="s">
        <v>376</v>
      </c>
      <c r="B225" s="3" t="s">
        <v>377</v>
      </c>
      <c r="C225" s="3" t="s">
        <v>378</v>
      </c>
      <c r="D225" s="2" t="n">
        <v>46092</v>
      </c>
      <c r="E225" s="3" t="s">
        <v>271</v>
      </c>
      <c r="F225" s="3" t="s">
        <v>101</v>
      </c>
      <c r="G225" s="3" t="n">
        <v>8</v>
      </c>
      <c r="H225" s="3" t="n">
        <v>8.5</v>
      </c>
      <c r="I225" s="3" t="n">
        <v>0.5</v>
      </c>
      <c r="J225" s="4" t="n">
        <v>20</v>
      </c>
      <c r="K225" s="4" t="n">
        <f aca="false">IF(H225&gt;8,8,H225)*J225</f>
        <v>160</v>
      </c>
      <c r="L225" s="4" t="n">
        <f aca="false">I225*J225*1.5</f>
        <v>15</v>
      </c>
      <c r="M225" s="4" t="n">
        <f aca="false">K225+L225</f>
        <v>175</v>
      </c>
    </row>
    <row r="226" customFormat="false" ht="15" hidden="false" customHeight="false" outlineLevel="0" collapsed="false">
      <c r="A226" s="3" t="s">
        <v>376</v>
      </c>
      <c r="B226" s="3" t="s">
        <v>377</v>
      </c>
      <c r="C226" s="3" t="s">
        <v>378</v>
      </c>
      <c r="D226" s="2" t="n">
        <v>46093</v>
      </c>
      <c r="E226" s="3" t="s">
        <v>347</v>
      </c>
      <c r="F226" s="3" t="s">
        <v>334</v>
      </c>
      <c r="G226" s="3" t="n">
        <v>7</v>
      </c>
      <c r="H226" s="3" t="n">
        <v>8.3</v>
      </c>
      <c r="I226" s="3" t="n">
        <v>0.3</v>
      </c>
      <c r="J226" s="4" t="n">
        <v>20</v>
      </c>
      <c r="K226" s="4" t="n">
        <f aca="false">IF(H226&gt;8,8,H226)*J226</f>
        <v>160</v>
      </c>
      <c r="L226" s="4" t="n">
        <f aca="false">I226*J226*1.5</f>
        <v>9</v>
      </c>
      <c r="M226" s="4" t="n">
        <f aca="false">K226+L226</f>
        <v>169</v>
      </c>
    </row>
    <row r="227" customFormat="false" ht="15" hidden="false" customHeight="false" outlineLevel="0" collapsed="false">
      <c r="A227" s="3" t="s">
        <v>376</v>
      </c>
      <c r="B227" s="3" t="s">
        <v>377</v>
      </c>
      <c r="C227" s="3" t="s">
        <v>378</v>
      </c>
      <c r="D227" s="2" t="n">
        <v>46095</v>
      </c>
      <c r="E227" s="3" t="s">
        <v>347</v>
      </c>
      <c r="F227" s="3" t="s">
        <v>356</v>
      </c>
      <c r="G227" s="3" t="n">
        <v>6</v>
      </c>
      <c r="H227" s="3" t="n">
        <v>5.9</v>
      </c>
      <c r="I227" s="3" t="n">
        <v>0</v>
      </c>
      <c r="J227" s="4" t="n">
        <v>20</v>
      </c>
      <c r="K227" s="4" t="n">
        <f aca="false">IF(H227&gt;8,8,H227)*J227</f>
        <v>118</v>
      </c>
      <c r="L227" s="4" t="n">
        <f aca="false">I227*J227*1.5</f>
        <v>0</v>
      </c>
      <c r="M227" s="4" t="n">
        <f aca="false">K227+L227</f>
        <v>118</v>
      </c>
    </row>
    <row r="228" customFormat="false" ht="15" hidden="false" customHeight="false" outlineLevel="0" collapsed="false">
      <c r="A228" s="3" t="s">
        <v>376</v>
      </c>
      <c r="B228" s="3" t="s">
        <v>377</v>
      </c>
      <c r="C228" s="3" t="s">
        <v>378</v>
      </c>
      <c r="D228" s="2" t="n">
        <v>46098</v>
      </c>
      <c r="E228" s="3" t="s">
        <v>339</v>
      </c>
      <c r="F228" s="3" t="s">
        <v>365</v>
      </c>
      <c r="G228" s="3" t="n">
        <v>8</v>
      </c>
      <c r="H228" s="3" t="n">
        <v>8.4</v>
      </c>
      <c r="I228" s="3" t="n">
        <v>0.4</v>
      </c>
      <c r="J228" s="4" t="n">
        <v>20</v>
      </c>
      <c r="K228" s="4" t="n">
        <f aca="false">IF(H228&gt;8,8,H228)*J228</f>
        <v>160</v>
      </c>
      <c r="L228" s="4" t="n">
        <f aca="false">I228*J228*1.5</f>
        <v>12</v>
      </c>
      <c r="M228" s="4" t="n">
        <f aca="false">K228+L228</f>
        <v>172</v>
      </c>
    </row>
    <row r="229" customFormat="false" ht="15" hidden="false" customHeight="false" outlineLevel="0" collapsed="false">
      <c r="A229" s="3" t="s">
        <v>376</v>
      </c>
      <c r="B229" s="3" t="s">
        <v>377</v>
      </c>
      <c r="C229" s="3" t="s">
        <v>378</v>
      </c>
      <c r="D229" s="2" t="n">
        <v>46099</v>
      </c>
      <c r="E229" s="3" t="s">
        <v>339</v>
      </c>
      <c r="F229" s="3" t="s">
        <v>379</v>
      </c>
      <c r="G229" s="3" t="n">
        <v>6</v>
      </c>
      <c r="H229" s="3" t="n">
        <v>7.1</v>
      </c>
      <c r="I229" s="3" t="n">
        <v>0</v>
      </c>
      <c r="J229" s="4" t="n">
        <v>20</v>
      </c>
      <c r="K229" s="4" t="n">
        <f aca="false">IF(H229&gt;8,8,H229)*J229</f>
        <v>142</v>
      </c>
      <c r="L229" s="4" t="n">
        <f aca="false">I229*J229*1.5</f>
        <v>0</v>
      </c>
      <c r="M229" s="4" t="n">
        <f aca="false">K229+L229</f>
        <v>142</v>
      </c>
    </row>
    <row r="230" customFormat="false" ht="15" hidden="false" customHeight="false" outlineLevel="0" collapsed="false">
      <c r="A230" s="3" t="s">
        <v>376</v>
      </c>
      <c r="B230" s="3" t="s">
        <v>377</v>
      </c>
      <c r="C230" s="3" t="s">
        <v>378</v>
      </c>
      <c r="D230" s="2" t="n">
        <v>46100</v>
      </c>
      <c r="E230" s="3" t="s">
        <v>263</v>
      </c>
      <c r="F230" s="3" t="s">
        <v>278</v>
      </c>
      <c r="G230" s="3" t="n">
        <v>6</v>
      </c>
      <c r="H230" s="3" t="n">
        <v>6.7</v>
      </c>
      <c r="I230" s="3" t="n">
        <v>0</v>
      </c>
      <c r="J230" s="4" t="n">
        <v>20</v>
      </c>
      <c r="K230" s="4" t="n">
        <f aca="false">IF(H230&gt;8,8,H230)*J230</f>
        <v>134</v>
      </c>
      <c r="L230" s="4" t="n">
        <f aca="false">I230*J230*1.5</f>
        <v>0</v>
      </c>
      <c r="M230" s="4" t="n">
        <f aca="false">K230+L230</f>
        <v>134</v>
      </c>
    </row>
    <row r="231" customFormat="false" ht="15" hidden="false" customHeight="false" outlineLevel="0" collapsed="false">
      <c r="A231" s="3" t="s">
        <v>376</v>
      </c>
      <c r="B231" s="3" t="s">
        <v>377</v>
      </c>
      <c r="C231" s="3" t="s">
        <v>378</v>
      </c>
      <c r="D231" s="2" t="n">
        <v>46101</v>
      </c>
      <c r="E231" s="3" t="s">
        <v>255</v>
      </c>
      <c r="F231" s="3" t="s">
        <v>290</v>
      </c>
      <c r="G231" s="3" t="n">
        <v>8</v>
      </c>
      <c r="H231" s="3" t="n">
        <v>9.1</v>
      </c>
      <c r="I231" s="3" t="n">
        <v>1.1</v>
      </c>
      <c r="J231" s="4" t="n">
        <v>20</v>
      </c>
      <c r="K231" s="4" t="n">
        <f aca="false">IF(H231&gt;8,8,H231)*J231</f>
        <v>160</v>
      </c>
      <c r="L231" s="4" t="n">
        <f aca="false">I231*J231*1.5</f>
        <v>33</v>
      </c>
      <c r="M231" s="4" t="n">
        <f aca="false">K231+L231</f>
        <v>193</v>
      </c>
    </row>
    <row r="232" customFormat="false" ht="15" hidden="false" customHeight="false" outlineLevel="0" collapsed="false">
      <c r="A232" s="3" t="s">
        <v>376</v>
      </c>
      <c r="B232" s="3" t="s">
        <v>377</v>
      </c>
      <c r="C232" s="3" t="s">
        <v>378</v>
      </c>
      <c r="D232" s="2" t="n">
        <v>46102</v>
      </c>
      <c r="E232" s="3" t="s">
        <v>255</v>
      </c>
      <c r="F232" s="3" t="s">
        <v>270</v>
      </c>
      <c r="G232" s="3" t="n">
        <v>6</v>
      </c>
      <c r="H232" s="3" t="n">
        <v>7.4</v>
      </c>
      <c r="I232" s="3" t="n">
        <v>0</v>
      </c>
      <c r="J232" s="4" t="n">
        <v>20</v>
      </c>
      <c r="K232" s="4" t="n">
        <f aca="false">IF(H232&gt;8,8,H232)*J232</f>
        <v>148</v>
      </c>
      <c r="L232" s="4" t="n">
        <f aca="false">I232*J232*1.5</f>
        <v>0</v>
      </c>
      <c r="M232" s="4" t="n">
        <f aca="false">K232+L232</f>
        <v>148</v>
      </c>
    </row>
    <row r="233" customFormat="false" ht="15" hidden="false" customHeight="false" outlineLevel="0" collapsed="false">
      <c r="A233" s="3" t="s">
        <v>376</v>
      </c>
      <c r="B233" s="3" t="s">
        <v>377</v>
      </c>
      <c r="C233" s="3" t="s">
        <v>378</v>
      </c>
      <c r="D233" s="2" t="n">
        <v>46103</v>
      </c>
      <c r="E233" s="3" t="s">
        <v>345</v>
      </c>
      <c r="F233" s="3" t="s">
        <v>329</v>
      </c>
      <c r="G233" s="3" t="n">
        <v>6</v>
      </c>
      <c r="H233" s="3" t="n">
        <v>6.7</v>
      </c>
      <c r="I233" s="3" t="n">
        <v>0</v>
      </c>
      <c r="J233" s="4" t="n">
        <v>20</v>
      </c>
      <c r="K233" s="4" t="n">
        <f aca="false">IF(H233&gt;8,8,H233)*J233</f>
        <v>134</v>
      </c>
      <c r="L233" s="4" t="n">
        <f aca="false">I233*J233*1.5</f>
        <v>0</v>
      </c>
      <c r="M233" s="4" t="n">
        <f aca="false">K233+L233</f>
        <v>134</v>
      </c>
    </row>
    <row r="234" customFormat="false" ht="15" hidden="false" customHeight="false" outlineLevel="0" collapsed="false">
      <c r="A234" s="3" t="s">
        <v>376</v>
      </c>
      <c r="B234" s="3" t="s">
        <v>377</v>
      </c>
      <c r="C234" s="3" t="s">
        <v>378</v>
      </c>
      <c r="D234" s="2" t="n">
        <v>46105</v>
      </c>
      <c r="E234" s="3" t="s">
        <v>345</v>
      </c>
      <c r="F234" s="3" t="s">
        <v>365</v>
      </c>
      <c r="G234" s="3" t="n">
        <v>7</v>
      </c>
      <c r="H234" s="3" t="n">
        <v>8.4</v>
      </c>
      <c r="I234" s="3" t="n">
        <v>0.4</v>
      </c>
      <c r="J234" s="4" t="n">
        <v>20</v>
      </c>
      <c r="K234" s="4" t="n">
        <f aca="false">IF(H234&gt;8,8,H234)*J234</f>
        <v>160</v>
      </c>
      <c r="L234" s="4" t="n">
        <f aca="false">I234*J234*1.5</f>
        <v>12</v>
      </c>
      <c r="M234" s="4" t="n">
        <f aca="false">K234+L234</f>
        <v>172</v>
      </c>
    </row>
    <row r="235" customFormat="false" ht="15" hidden="false" customHeight="false" outlineLevel="0" collapsed="false">
      <c r="A235" s="3" t="s">
        <v>376</v>
      </c>
      <c r="B235" s="3" t="s">
        <v>377</v>
      </c>
      <c r="C235" s="3" t="s">
        <v>378</v>
      </c>
      <c r="D235" s="2" t="n">
        <v>46106</v>
      </c>
      <c r="E235" s="3" t="s">
        <v>353</v>
      </c>
      <c r="F235" s="3" t="s">
        <v>251</v>
      </c>
      <c r="G235" s="3" t="n">
        <v>8</v>
      </c>
      <c r="H235" s="3" t="n">
        <v>9.5</v>
      </c>
      <c r="I235" s="3" t="n">
        <v>1.5</v>
      </c>
      <c r="J235" s="4" t="n">
        <v>20</v>
      </c>
      <c r="K235" s="4" t="n">
        <f aca="false">IF(H235&gt;8,8,H235)*J235</f>
        <v>160</v>
      </c>
      <c r="L235" s="4" t="n">
        <f aca="false">I235*J235*1.5</f>
        <v>45</v>
      </c>
      <c r="M235" s="4" t="n">
        <f aca="false">K235+L235</f>
        <v>205</v>
      </c>
    </row>
    <row r="236" customFormat="false" ht="15" hidden="false" customHeight="false" outlineLevel="0" collapsed="false">
      <c r="A236" s="3" t="s">
        <v>376</v>
      </c>
      <c r="B236" s="3" t="s">
        <v>377</v>
      </c>
      <c r="C236" s="3" t="s">
        <v>378</v>
      </c>
      <c r="D236" s="2" t="n">
        <v>46109</v>
      </c>
      <c r="E236" s="3" t="s">
        <v>339</v>
      </c>
      <c r="F236" s="3" t="s">
        <v>66</v>
      </c>
      <c r="G236" s="3" t="n">
        <v>6</v>
      </c>
      <c r="H236" s="3" t="n">
        <v>7.5</v>
      </c>
      <c r="I236" s="3" t="n">
        <v>0</v>
      </c>
      <c r="J236" s="4" t="n">
        <v>20</v>
      </c>
      <c r="K236" s="4" t="n">
        <f aca="false">IF(H236&gt;8,8,H236)*J236</f>
        <v>150</v>
      </c>
      <c r="L236" s="4" t="n">
        <f aca="false">I236*J236*1.5</f>
        <v>0</v>
      </c>
      <c r="M236" s="4" t="n">
        <f aca="false">K236+L236</f>
        <v>150</v>
      </c>
    </row>
    <row r="237" customFormat="false" ht="15" hidden="false" customHeight="false" outlineLevel="0" collapsed="false">
      <c r="A237" s="3" t="s">
        <v>376</v>
      </c>
      <c r="B237" s="3" t="s">
        <v>377</v>
      </c>
      <c r="C237" s="3" t="s">
        <v>378</v>
      </c>
      <c r="D237" s="2" t="n">
        <v>46110</v>
      </c>
      <c r="E237" s="3" t="s">
        <v>347</v>
      </c>
      <c r="F237" s="3" t="s">
        <v>270</v>
      </c>
      <c r="G237" s="3" t="n">
        <v>7</v>
      </c>
      <c r="H237" s="3" t="n">
        <v>8.4</v>
      </c>
      <c r="I237" s="3" t="n">
        <v>0.4</v>
      </c>
      <c r="J237" s="4" t="n">
        <v>20</v>
      </c>
      <c r="K237" s="4" t="n">
        <f aca="false">IF(H237&gt;8,8,H237)*J237</f>
        <v>160</v>
      </c>
      <c r="L237" s="4" t="n">
        <f aca="false">I237*J237*1.5</f>
        <v>12</v>
      </c>
      <c r="M237" s="4" t="n">
        <f aca="false">K237+L237</f>
        <v>172</v>
      </c>
    </row>
    <row r="238" customFormat="false" ht="15" hidden="false" customHeight="false" outlineLevel="0" collapsed="false">
      <c r="A238" s="3" t="s">
        <v>376</v>
      </c>
      <c r="B238" s="3" t="s">
        <v>377</v>
      </c>
      <c r="C238" s="3" t="s">
        <v>378</v>
      </c>
      <c r="D238" s="2" t="n">
        <v>46112</v>
      </c>
      <c r="E238" s="3" t="s">
        <v>353</v>
      </c>
      <c r="F238" s="3" t="s">
        <v>370</v>
      </c>
      <c r="G238" s="3" t="n">
        <v>6</v>
      </c>
      <c r="H238" s="3" t="n">
        <v>6.3</v>
      </c>
      <c r="I238" s="3" t="n">
        <v>0</v>
      </c>
      <c r="J238" s="4" t="n">
        <v>20</v>
      </c>
      <c r="K238" s="4" t="n">
        <f aca="false">IF(H238&gt;8,8,H238)*J238</f>
        <v>126</v>
      </c>
      <c r="L238" s="4" t="n">
        <f aca="false">I238*J238*1.5</f>
        <v>0</v>
      </c>
      <c r="M238" s="4" t="n">
        <f aca="false">K238+L238</f>
        <v>126</v>
      </c>
    </row>
    <row r="239" customFormat="false" ht="15" hidden="false" customHeight="false" outlineLevel="0" collapsed="false">
      <c r="A239" s="3" t="s">
        <v>380</v>
      </c>
      <c r="B239" s="3" t="s">
        <v>381</v>
      </c>
      <c r="C239" s="3" t="s">
        <v>382</v>
      </c>
      <c r="D239" s="2" t="n">
        <v>46082</v>
      </c>
      <c r="E239" s="3" t="s">
        <v>335</v>
      </c>
      <c r="F239" s="3" t="s">
        <v>379</v>
      </c>
      <c r="G239" s="3" t="n">
        <v>7</v>
      </c>
      <c r="H239" s="3" t="n">
        <v>8.1</v>
      </c>
      <c r="I239" s="3" t="n">
        <v>0.1</v>
      </c>
      <c r="J239" s="4" t="n">
        <v>25</v>
      </c>
      <c r="K239" s="4" t="n">
        <f aca="false">IF(H239&gt;8,8,H239)*J239</f>
        <v>200</v>
      </c>
      <c r="L239" s="4" t="n">
        <f aca="false">I239*J239*1.5</f>
        <v>3.75</v>
      </c>
      <c r="M239" s="4" t="n">
        <f aca="false">K239+L239</f>
        <v>203.75</v>
      </c>
    </row>
    <row r="240" customFormat="false" ht="15" hidden="false" customHeight="false" outlineLevel="0" collapsed="false">
      <c r="A240" s="3" t="s">
        <v>380</v>
      </c>
      <c r="B240" s="3" t="s">
        <v>381</v>
      </c>
      <c r="C240" s="3" t="s">
        <v>382</v>
      </c>
      <c r="D240" s="2" t="n">
        <v>46083</v>
      </c>
      <c r="E240" s="3" t="s">
        <v>353</v>
      </c>
      <c r="F240" s="3" t="s">
        <v>329</v>
      </c>
      <c r="G240" s="3" t="n">
        <v>7</v>
      </c>
      <c r="H240" s="3" t="n">
        <v>6.7</v>
      </c>
      <c r="I240" s="3" t="n">
        <v>0</v>
      </c>
      <c r="J240" s="4" t="n">
        <v>25</v>
      </c>
      <c r="K240" s="4" t="n">
        <f aca="false">IF(H240&gt;8,8,H240)*J240</f>
        <v>167.5</v>
      </c>
      <c r="L240" s="4" t="n">
        <f aca="false">I240*J240*1.5</f>
        <v>0</v>
      </c>
      <c r="M240" s="4" t="n">
        <f aca="false">K240+L240</f>
        <v>167.5</v>
      </c>
    </row>
    <row r="241" customFormat="false" ht="15" hidden="false" customHeight="false" outlineLevel="0" collapsed="false">
      <c r="A241" s="3" t="s">
        <v>380</v>
      </c>
      <c r="B241" s="3" t="s">
        <v>381</v>
      </c>
      <c r="C241" s="3" t="s">
        <v>382</v>
      </c>
      <c r="D241" s="2" t="n">
        <v>46084</v>
      </c>
      <c r="E241" s="3" t="s">
        <v>263</v>
      </c>
      <c r="F241" s="3" t="s">
        <v>256</v>
      </c>
      <c r="G241" s="3" t="n">
        <v>8</v>
      </c>
      <c r="H241" s="3" t="n">
        <v>9.4</v>
      </c>
      <c r="I241" s="3" t="n">
        <v>1.4</v>
      </c>
      <c r="J241" s="4" t="n">
        <v>25</v>
      </c>
      <c r="K241" s="4" t="n">
        <f aca="false">IF(H241&gt;8,8,H241)*J241</f>
        <v>200</v>
      </c>
      <c r="L241" s="4" t="n">
        <f aca="false">I241*J241*1.5</f>
        <v>52.5</v>
      </c>
      <c r="M241" s="4" t="n">
        <f aca="false">K241+L241</f>
        <v>252.5</v>
      </c>
    </row>
    <row r="242" customFormat="false" ht="15" hidden="false" customHeight="false" outlineLevel="0" collapsed="false">
      <c r="A242" s="3" t="s">
        <v>380</v>
      </c>
      <c r="B242" s="3" t="s">
        <v>381</v>
      </c>
      <c r="C242" s="3" t="s">
        <v>382</v>
      </c>
      <c r="D242" s="2" t="n">
        <v>46086</v>
      </c>
      <c r="E242" s="3" t="s">
        <v>328</v>
      </c>
      <c r="F242" s="3" t="s">
        <v>337</v>
      </c>
      <c r="G242" s="3" t="n">
        <v>7</v>
      </c>
      <c r="H242" s="3" t="n">
        <v>7.2</v>
      </c>
      <c r="I242" s="3" t="n">
        <v>0</v>
      </c>
      <c r="J242" s="4" t="n">
        <v>25</v>
      </c>
      <c r="K242" s="4" t="n">
        <f aca="false">IF(H242&gt;8,8,H242)*J242</f>
        <v>180</v>
      </c>
      <c r="L242" s="4" t="n">
        <f aca="false">I242*J242*1.5</f>
        <v>0</v>
      </c>
      <c r="M242" s="4" t="n">
        <f aca="false">K242+L242</f>
        <v>180</v>
      </c>
    </row>
    <row r="243" customFormat="false" ht="15" hidden="false" customHeight="false" outlineLevel="0" collapsed="false">
      <c r="A243" s="3" t="s">
        <v>380</v>
      </c>
      <c r="B243" s="3" t="s">
        <v>381</v>
      </c>
      <c r="C243" s="3" t="s">
        <v>382</v>
      </c>
      <c r="D243" s="2" t="n">
        <v>46087</v>
      </c>
      <c r="E243" s="3" t="s">
        <v>271</v>
      </c>
      <c r="F243" s="3" t="s">
        <v>383</v>
      </c>
      <c r="G243" s="3" t="n">
        <v>6</v>
      </c>
      <c r="H243" s="3" t="n">
        <v>5.8</v>
      </c>
      <c r="I243" s="3" t="n">
        <v>0</v>
      </c>
      <c r="J243" s="4" t="n">
        <v>25</v>
      </c>
      <c r="K243" s="4" t="n">
        <f aca="false">IF(H243&gt;8,8,H243)*J243</f>
        <v>145</v>
      </c>
      <c r="L243" s="4" t="n">
        <f aca="false">I243*J243*1.5</f>
        <v>0</v>
      </c>
      <c r="M243" s="4" t="n">
        <f aca="false">K243+L243</f>
        <v>145</v>
      </c>
    </row>
    <row r="244" customFormat="false" ht="15" hidden="false" customHeight="false" outlineLevel="0" collapsed="false">
      <c r="A244" s="3" t="s">
        <v>380</v>
      </c>
      <c r="B244" s="3" t="s">
        <v>381</v>
      </c>
      <c r="C244" s="3" t="s">
        <v>382</v>
      </c>
      <c r="D244" s="2" t="n">
        <v>46088</v>
      </c>
      <c r="E244" s="3" t="s">
        <v>332</v>
      </c>
      <c r="F244" s="3" t="s">
        <v>350</v>
      </c>
      <c r="G244" s="3" t="n">
        <v>8</v>
      </c>
      <c r="H244" s="3" t="n">
        <v>8.7</v>
      </c>
      <c r="I244" s="3" t="n">
        <v>0.7</v>
      </c>
      <c r="J244" s="4" t="n">
        <v>25</v>
      </c>
      <c r="K244" s="4" t="n">
        <f aca="false">IF(H244&gt;8,8,H244)*J244</f>
        <v>200</v>
      </c>
      <c r="L244" s="4" t="n">
        <f aca="false">I244*J244*1.5</f>
        <v>26.25</v>
      </c>
      <c r="M244" s="4" t="n">
        <f aca="false">K244+L244</f>
        <v>226.25</v>
      </c>
    </row>
    <row r="245" customFormat="false" ht="15" hidden="false" customHeight="false" outlineLevel="0" collapsed="false">
      <c r="A245" s="3" t="s">
        <v>380</v>
      </c>
      <c r="B245" s="3" t="s">
        <v>381</v>
      </c>
      <c r="C245" s="3" t="s">
        <v>382</v>
      </c>
      <c r="D245" s="2" t="n">
        <v>46089</v>
      </c>
      <c r="E245" s="3" t="s">
        <v>347</v>
      </c>
      <c r="F245" s="3" t="s">
        <v>270</v>
      </c>
      <c r="G245" s="3" t="n">
        <v>7</v>
      </c>
      <c r="H245" s="3" t="n">
        <v>8.4</v>
      </c>
      <c r="I245" s="3" t="n">
        <v>0.4</v>
      </c>
      <c r="J245" s="4" t="n">
        <v>25</v>
      </c>
      <c r="K245" s="4" t="n">
        <f aca="false">IF(H245&gt;8,8,H245)*J245</f>
        <v>200</v>
      </c>
      <c r="L245" s="4" t="n">
        <f aca="false">I245*J245*1.5</f>
        <v>15</v>
      </c>
      <c r="M245" s="4" t="n">
        <f aca="false">K245+L245</f>
        <v>215</v>
      </c>
    </row>
    <row r="246" customFormat="false" ht="15" hidden="false" customHeight="false" outlineLevel="0" collapsed="false">
      <c r="A246" s="3" t="s">
        <v>380</v>
      </c>
      <c r="B246" s="3" t="s">
        <v>381</v>
      </c>
      <c r="C246" s="3" t="s">
        <v>382</v>
      </c>
      <c r="D246" s="2" t="n">
        <v>46090</v>
      </c>
      <c r="E246" s="3" t="s">
        <v>345</v>
      </c>
      <c r="F246" s="3" t="s">
        <v>354</v>
      </c>
      <c r="G246" s="3" t="n">
        <v>6</v>
      </c>
      <c r="H246" s="3" t="n">
        <v>7.3</v>
      </c>
      <c r="I246" s="3" t="n">
        <v>0</v>
      </c>
      <c r="J246" s="4" t="n">
        <v>25</v>
      </c>
      <c r="K246" s="4" t="n">
        <f aca="false">IF(H246&gt;8,8,H246)*J246</f>
        <v>182.5</v>
      </c>
      <c r="L246" s="4" t="n">
        <f aca="false">I246*J246*1.5</f>
        <v>0</v>
      </c>
      <c r="M246" s="4" t="n">
        <f aca="false">K246+L246</f>
        <v>182.5</v>
      </c>
    </row>
    <row r="247" customFormat="false" ht="15" hidden="false" customHeight="false" outlineLevel="0" collapsed="false">
      <c r="A247" s="3" t="s">
        <v>380</v>
      </c>
      <c r="B247" s="3" t="s">
        <v>381</v>
      </c>
      <c r="C247" s="3" t="s">
        <v>382</v>
      </c>
      <c r="D247" s="2" t="n">
        <v>46091</v>
      </c>
      <c r="E247" s="3" t="s">
        <v>255</v>
      </c>
      <c r="F247" s="3" t="s">
        <v>317</v>
      </c>
      <c r="G247" s="3" t="n">
        <v>7</v>
      </c>
      <c r="H247" s="3" t="n">
        <v>6.6</v>
      </c>
      <c r="I247" s="3" t="n">
        <v>0</v>
      </c>
      <c r="J247" s="4" t="n">
        <v>25</v>
      </c>
      <c r="K247" s="4" t="n">
        <f aca="false">IF(H247&gt;8,8,H247)*J247</f>
        <v>165</v>
      </c>
      <c r="L247" s="4" t="n">
        <f aca="false">I247*J247*1.5</f>
        <v>0</v>
      </c>
      <c r="M247" s="4" t="n">
        <f aca="false">K247+L247</f>
        <v>165</v>
      </c>
    </row>
    <row r="248" customFormat="false" ht="15" hidden="false" customHeight="false" outlineLevel="0" collapsed="false">
      <c r="A248" s="3" t="s">
        <v>380</v>
      </c>
      <c r="B248" s="3" t="s">
        <v>381</v>
      </c>
      <c r="C248" s="3" t="s">
        <v>382</v>
      </c>
      <c r="D248" s="2" t="n">
        <v>46092</v>
      </c>
      <c r="E248" s="3" t="s">
        <v>330</v>
      </c>
      <c r="F248" s="3" t="s">
        <v>354</v>
      </c>
      <c r="G248" s="3" t="n">
        <v>6</v>
      </c>
      <c r="H248" s="3" t="n">
        <v>6.3</v>
      </c>
      <c r="I248" s="3" t="n">
        <v>0</v>
      </c>
      <c r="J248" s="4" t="n">
        <v>25</v>
      </c>
      <c r="K248" s="4" t="n">
        <f aca="false">IF(H248&gt;8,8,H248)*J248</f>
        <v>157.5</v>
      </c>
      <c r="L248" s="4" t="n">
        <f aca="false">I248*J248*1.5</f>
        <v>0</v>
      </c>
      <c r="M248" s="4" t="n">
        <f aca="false">K248+L248</f>
        <v>157.5</v>
      </c>
    </row>
    <row r="249" customFormat="false" ht="15" hidden="false" customHeight="false" outlineLevel="0" collapsed="false">
      <c r="A249" s="3" t="s">
        <v>380</v>
      </c>
      <c r="B249" s="3" t="s">
        <v>381</v>
      </c>
      <c r="C249" s="3" t="s">
        <v>382</v>
      </c>
      <c r="D249" s="2" t="n">
        <v>46094</v>
      </c>
      <c r="E249" s="3" t="s">
        <v>332</v>
      </c>
      <c r="F249" s="3" t="s">
        <v>379</v>
      </c>
      <c r="G249" s="3" t="n">
        <v>7</v>
      </c>
      <c r="H249" s="3" t="n">
        <v>8.1</v>
      </c>
      <c r="I249" s="3" t="n">
        <v>0.1</v>
      </c>
      <c r="J249" s="4" t="n">
        <v>25</v>
      </c>
      <c r="K249" s="4" t="n">
        <f aca="false">IF(H249&gt;8,8,H249)*J249</f>
        <v>200</v>
      </c>
      <c r="L249" s="4" t="n">
        <f aca="false">I249*J249*1.5</f>
        <v>3.75</v>
      </c>
      <c r="M249" s="4" t="n">
        <f aca="false">K249+L249</f>
        <v>203.75</v>
      </c>
    </row>
    <row r="250" customFormat="false" ht="15" hidden="false" customHeight="false" outlineLevel="0" collapsed="false">
      <c r="A250" s="3" t="s">
        <v>380</v>
      </c>
      <c r="B250" s="3" t="s">
        <v>381</v>
      </c>
      <c r="C250" s="3" t="s">
        <v>382</v>
      </c>
      <c r="D250" s="2" t="n">
        <v>46095</v>
      </c>
      <c r="E250" s="3" t="s">
        <v>339</v>
      </c>
      <c r="F250" s="3" t="s">
        <v>319</v>
      </c>
      <c r="G250" s="3" t="n">
        <v>7</v>
      </c>
      <c r="H250" s="3" t="n">
        <v>7.9</v>
      </c>
      <c r="I250" s="3" t="n">
        <v>0</v>
      </c>
      <c r="J250" s="4" t="n">
        <v>25</v>
      </c>
      <c r="K250" s="4" t="n">
        <f aca="false">IF(H250&gt;8,8,H250)*J250</f>
        <v>197.5</v>
      </c>
      <c r="L250" s="4" t="n">
        <f aca="false">I250*J250*1.5</f>
        <v>0</v>
      </c>
      <c r="M250" s="4" t="n">
        <f aca="false">K250+L250</f>
        <v>197.5</v>
      </c>
    </row>
    <row r="251" customFormat="false" ht="15" hidden="false" customHeight="false" outlineLevel="0" collapsed="false">
      <c r="A251" s="3" t="s">
        <v>380</v>
      </c>
      <c r="B251" s="3" t="s">
        <v>381</v>
      </c>
      <c r="C251" s="3" t="s">
        <v>382</v>
      </c>
      <c r="D251" s="2" t="n">
        <v>46097</v>
      </c>
      <c r="E251" s="3" t="s">
        <v>330</v>
      </c>
      <c r="F251" s="3" t="s">
        <v>268</v>
      </c>
      <c r="G251" s="3" t="n">
        <v>8</v>
      </c>
      <c r="H251" s="3" t="n">
        <v>7.9</v>
      </c>
      <c r="I251" s="3" t="n">
        <v>0</v>
      </c>
      <c r="J251" s="4" t="n">
        <v>25</v>
      </c>
      <c r="K251" s="4" t="n">
        <f aca="false">IF(H251&gt;8,8,H251)*J251</f>
        <v>197.5</v>
      </c>
      <c r="L251" s="4" t="n">
        <f aca="false">I251*J251*1.5</f>
        <v>0</v>
      </c>
      <c r="M251" s="4" t="n">
        <f aca="false">K251+L251</f>
        <v>197.5</v>
      </c>
    </row>
    <row r="252" customFormat="false" ht="15" hidden="false" customHeight="false" outlineLevel="0" collapsed="false">
      <c r="A252" s="3" t="s">
        <v>380</v>
      </c>
      <c r="B252" s="3" t="s">
        <v>381</v>
      </c>
      <c r="C252" s="3" t="s">
        <v>382</v>
      </c>
      <c r="D252" s="2" t="n">
        <v>46098</v>
      </c>
      <c r="E252" s="3" t="s">
        <v>332</v>
      </c>
      <c r="F252" s="3" t="s">
        <v>384</v>
      </c>
      <c r="G252" s="3" t="n">
        <v>6</v>
      </c>
      <c r="H252" s="3" t="n">
        <v>5.7</v>
      </c>
      <c r="I252" s="3" t="n">
        <v>0</v>
      </c>
      <c r="J252" s="4" t="n">
        <v>25</v>
      </c>
      <c r="K252" s="4" t="n">
        <f aca="false">IF(H252&gt;8,8,H252)*J252</f>
        <v>142.5</v>
      </c>
      <c r="L252" s="4" t="n">
        <f aca="false">I252*J252*1.5</f>
        <v>0</v>
      </c>
      <c r="M252" s="4" t="n">
        <f aca="false">K252+L252</f>
        <v>142.5</v>
      </c>
    </row>
    <row r="253" customFormat="false" ht="15" hidden="false" customHeight="false" outlineLevel="0" collapsed="false">
      <c r="A253" s="3" t="s">
        <v>380</v>
      </c>
      <c r="B253" s="3" t="s">
        <v>381</v>
      </c>
      <c r="C253" s="3" t="s">
        <v>382</v>
      </c>
      <c r="D253" s="2" t="n">
        <v>46101</v>
      </c>
      <c r="E253" s="3" t="s">
        <v>353</v>
      </c>
      <c r="F253" s="3" t="s">
        <v>365</v>
      </c>
      <c r="G253" s="3" t="n">
        <v>7</v>
      </c>
      <c r="H253" s="3" t="n">
        <v>8.4</v>
      </c>
      <c r="I253" s="3" t="n">
        <v>0.4</v>
      </c>
      <c r="J253" s="4" t="n">
        <v>25</v>
      </c>
      <c r="K253" s="4" t="n">
        <f aca="false">IF(H253&gt;8,8,H253)*J253</f>
        <v>200</v>
      </c>
      <c r="L253" s="4" t="n">
        <f aca="false">I253*J253*1.5</f>
        <v>15</v>
      </c>
      <c r="M253" s="4" t="n">
        <f aca="false">K253+L253</f>
        <v>215</v>
      </c>
    </row>
    <row r="254" customFormat="false" ht="15" hidden="false" customHeight="false" outlineLevel="0" collapsed="false">
      <c r="A254" s="3" t="s">
        <v>380</v>
      </c>
      <c r="B254" s="3" t="s">
        <v>381</v>
      </c>
      <c r="C254" s="3" t="s">
        <v>382</v>
      </c>
      <c r="D254" s="2" t="n">
        <v>46102</v>
      </c>
      <c r="E254" s="3" t="s">
        <v>347</v>
      </c>
      <c r="F254" s="3" t="s">
        <v>66</v>
      </c>
      <c r="G254" s="3" t="n">
        <v>6</v>
      </c>
      <c r="H254" s="3" t="n">
        <v>6.5</v>
      </c>
      <c r="I254" s="3" t="n">
        <v>0</v>
      </c>
      <c r="J254" s="4" t="n">
        <v>25</v>
      </c>
      <c r="K254" s="4" t="n">
        <f aca="false">IF(H254&gt;8,8,H254)*J254</f>
        <v>162.5</v>
      </c>
      <c r="L254" s="4" t="n">
        <f aca="false">I254*J254*1.5</f>
        <v>0</v>
      </c>
      <c r="M254" s="4" t="n">
        <f aca="false">K254+L254</f>
        <v>162.5</v>
      </c>
    </row>
    <row r="255" customFormat="false" ht="15" hidden="false" customHeight="false" outlineLevel="0" collapsed="false">
      <c r="A255" s="3" t="s">
        <v>380</v>
      </c>
      <c r="B255" s="3" t="s">
        <v>381</v>
      </c>
      <c r="C255" s="3" t="s">
        <v>382</v>
      </c>
      <c r="D255" s="2" t="n">
        <v>46103</v>
      </c>
      <c r="E255" s="3" t="s">
        <v>347</v>
      </c>
      <c r="F255" s="3" t="s">
        <v>270</v>
      </c>
      <c r="G255" s="3" t="n">
        <v>7</v>
      </c>
      <c r="H255" s="3" t="n">
        <v>8.4</v>
      </c>
      <c r="I255" s="3" t="n">
        <v>0.4</v>
      </c>
      <c r="J255" s="4" t="n">
        <v>25</v>
      </c>
      <c r="K255" s="4" t="n">
        <f aca="false">IF(H255&gt;8,8,H255)*J255</f>
        <v>200</v>
      </c>
      <c r="L255" s="4" t="n">
        <f aca="false">I255*J255*1.5</f>
        <v>15</v>
      </c>
      <c r="M255" s="4" t="n">
        <f aca="false">K255+L255</f>
        <v>215</v>
      </c>
    </row>
    <row r="256" customFormat="false" ht="15" hidden="false" customHeight="false" outlineLevel="0" collapsed="false">
      <c r="A256" s="3" t="s">
        <v>380</v>
      </c>
      <c r="B256" s="3" t="s">
        <v>381</v>
      </c>
      <c r="C256" s="3" t="s">
        <v>382</v>
      </c>
      <c r="D256" s="2" t="n">
        <v>46104</v>
      </c>
      <c r="E256" s="3" t="s">
        <v>271</v>
      </c>
      <c r="F256" s="3" t="s">
        <v>274</v>
      </c>
      <c r="G256" s="3" t="n">
        <v>8</v>
      </c>
      <c r="H256" s="3" t="n">
        <v>7.9</v>
      </c>
      <c r="I256" s="3" t="n">
        <v>0</v>
      </c>
      <c r="J256" s="4" t="n">
        <v>25</v>
      </c>
      <c r="K256" s="4" t="n">
        <f aca="false">IF(H256&gt;8,8,H256)*J256</f>
        <v>197.5</v>
      </c>
      <c r="L256" s="4" t="n">
        <f aca="false">I256*J256*1.5</f>
        <v>0</v>
      </c>
      <c r="M256" s="4" t="n">
        <f aca="false">K256+L256</f>
        <v>197.5</v>
      </c>
    </row>
    <row r="257" customFormat="false" ht="15" hidden="false" customHeight="false" outlineLevel="0" collapsed="false">
      <c r="A257" s="3" t="s">
        <v>380</v>
      </c>
      <c r="B257" s="3" t="s">
        <v>381</v>
      </c>
      <c r="C257" s="3" t="s">
        <v>382</v>
      </c>
      <c r="D257" s="2" t="n">
        <v>46105</v>
      </c>
      <c r="E257" s="3" t="s">
        <v>328</v>
      </c>
      <c r="F257" s="3" t="s">
        <v>297</v>
      </c>
      <c r="G257" s="3" t="n">
        <v>6</v>
      </c>
      <c r="H257" s="3" t="n">
        <v>7.3</v>
      </c>
      <c r="I257" s="3" t="n">
        <v>0</v>
      </c>
      <c r="J257" s="4" t="n">
        <v>25</v>
      </c>
      <c r="K257" s="4" t="n">
        <f aca="false">IF(H257&gt;8,8,H257)*J257</f>
        <v>182.5</v>
      </c>
      <c r="L257" s="4" t="n">
        <f aca="false">I257*J257*1.5</f>
        <v>0</v>
      </c>
      <c r="M257" s="4" t="n">
        <f aca="false">K257+L257</f>
        <v>182.5</v>
      </c>
    </row>
    <row r="258" customFormat="false" ht="15" hidden="false" customHeight="false" outlineLevel="0" collapsed="false">
      <c r="A258" s="3" t="s">
        <v>380</v>
      </c>
      <c r="B258" s="3" t="s">
        <v>381</v>
      </c>
      <c r="C258" s="3" t="s">
        <v>382</v>
      </c>
      <c r="D258" s="2" t="n">
        <v>46106</v>
      </c>
      <c r="E258" s="3" t="s">
        <v>271</v>
      </c>
      <c r="F258" s="3" t="s">
        <v>272</v>
      </c>
      <c r="G258" s="3" t="n">
        <v>8</v>
      </c>
      <c r="H258" s="3" t="n">
        <v>7.8</v>
      </c>
      <c r="I258" s="3" t="n">
        <v>0</v>
      </c>
      <c r="J258" s="4" t="n">
        <v>25</v>
      </c>
      <c r="K258" s="4" t="n">
        <f aca="false">IF(H258&gt;8,8,H258)*J258</f>
        <v>195</v>
      </c>
      <c r="L258" s="4" t="n">
        <f aca="false">I258*J258*1.5</f>
        <v>0</v>
      </c>
      <c r="M258" s="4" t="n">
        <f aca="false">K258+L258</f>
        <v>195</v>
      </c>
    </row>
    <row r="259" customFormat="false" ht="15" hidden="false" customHeight="false" outlineLevel="0" collapsed="false">
      <c r="A259" s="3" t="s">
        <v>380</v>
      </c>
      <c r="B259" s="3" t="s">
        <v>381</v>
      </c>
      <c r="C259" s="3" t="s">
        <v>382</v>
      </c>
      <c r="D259" s="2" t="n">
        <v>46107</v>
      </c>
      <c r="E259" s="3" t="s">
        <v>263</v>
      </c>
      <c r="F259" s="3" t="s">
        <v>101</v>
      </c>
      <c r="G259" s="3" t="n">
        <v>8</v>
      </c>
      <c r="H259" s="3" t="n">
        <v>8.5</v>
      </c>
      <c r="I259" s="3" t="n">
        <v>0.5</v>
      </c>
      <c r="J259" s="4" t="n">
        <v>25</v>
      </c>
      <c r="K259" s="4" t="n">
        <f aca="false">IF(H259&gt;8,8,H259)*J259</f>
        <v>200</v>
      </c>
      <c r="L259" s="4" t="n">
        <f aca="false">I259*J259*1.5</f>
        <v>18.75</v>
      </c>
      <c r="M259" s="4" t="n">
        <f aca="false">K259+L259</f>
        <v>218.75</v>
      </c>
    </row>
    <row r="260" customFormat="false" ht="15" hidden="false" customHeight="false" outlineLevel="0" collapsed="false">
      <c r="A260" s="3" t="s">
        <v>380</v>
      </c>
      <c r="B260" s="3" t="s">
        <v>381</v>
      </c>
      <c r="C260" s="3" t="s">
        <v>382</v>
      </c>
      <c r="D260" s="2" t="n">
        <v>46108</v>
      </c>
      <c r="E260" s="3" t="s">
        <v>330</v>
      </c>
      <c r="F260" s="3" t="s">
        <v>324</v>
      </c>
      <c r="G260" s="3" t="n">
        <v>8</v>
      </c>
      <c r="H260" s="3" t="n">
        <v>9.4</v>
      </c>
      <c r="I260" s="3" t="n">
        <v>1.4</v>
      </c>
      <c r="J260" s="4" t="n">
        <v>25</v>
      </c>
      <c r="K260" s="4" t="n">
        <f aca="false">IF(H260&gt;8,8,H260)*J260</f>
        <v>200</v>
      </c>
      <c r="L260" s="4" t="n">
        <f aca="false">I260*J260*1.5</f>
        <v>52.5</v>
      </c>
      <c r="M260" s="4" t="n">
        <f aca="false">K260+L260</f>
        <v>252.5</v>
      </c>
    </row>
    <row r="261" customFormat="false" ht="15" hidden="false" customHeight="false" outlineLevel="0" collapsed="false">
      <c r="A261" s="3" t="s">
        <v>380</v>
      </c>
      <c r="B261" s="3" t="s">
        <v>381</v>
      </c>
      <c r="C261" s="3" t="s">
        <v>382</v>
      </c>
      <c r="D261" s="2" t="n">
        <v>46109</v>
      </c>
      <c r="E261" s="3" t="s">
        <v>335</v>
      </c>
      <c r="F261" s="3" t="s">
        <v>356</v>
      </c>
      <c r="G261" s="3" t="n">
        <v>8</v>
      </c>
      <c r="H261" s="3" t="n">
        <v>7.9</v>
      </c>
      <c r="I261" s="3" t="n">
        <v>0</v>
      </c>
      <c r="J261" s="4" t="n">
        <v>25</v>
      </c>
      <c r="K261" s="4" t="n">
        <f aca="false">IF(H261&gt;8,8,H261)*J261</f>
        <v>197.5</v>
      </c>
      <c r="L261" s="4" t="n">
        <f aca="false">I261*J261*1.5</f>
        <v>0</v>
      </c>
      <c r="M261" s="4" t="n">
        <f aca="false">K261+L261</f>
        <v>197.5</v>
      </c>
    </row>
    <row r="262" customFormat="false" ht="15" hidden="false" customHeight="false" outlineLevel="0" collapsed="false">
      <c r="A262" s="3" t="s">
        <v>380</v>
      </c>
      <c r="B262" s="3" t="s">
        <v>381</v>
      </c>
      <c r="C262" s="3" t="s">
        <v>382</v>
      </c>
      <c r="D262" s="2" t="n">
        <v>46110</v>
      </c>
      <c r="E262" s="3" t="s">
        <v>332</v>
      </c>
      <c r="F262" s="3" t="s">
        <v>385</v>
      </c>
      <c r="G262" s="3" t="n">
        <v>6</v>
      </c>
      <c r="H262" s="3" t="n">
        <v>7.2</v>
      </c>
      <c r="I262" s="3" t="n">
        <v>0</v>
      </c>
      <c r="J262" s="4" t="n">
        <v>25</v>
      </c>
      <c r="K262" s="4" t="n">
        <f aca="false">IF(H262&gt;8,8,H262)*J262</f>
        <v>180</v>
      </c>
      <c r="L262" s="4" t="n">
        <f aca="false">I262*J262*1.5</f>
        <v>0</v>
      </c>
      <c r="M262" s="4" t="n">
        <f aca="false">K262+L262</f>
        <v>180</v>
      </c>
    </row>
    <row r="263" customFormat="false" ht="15" hidden="false" customHeight="false" outlineLevel="0" collapsed="false">
      <c r="A263" s="3" t="s">
        <v>380</v>
      </c>
      <c r="B263" s="3" t="s">
        <v>381</v>
      </c>
      <c r="C263" s="3" t="s">
        <v>382</v>
      </c>
      <c r="D263" s="2" t="n">
        <v>46111</v>
      </c>
      <c r="E263" s="3" t="s">
        <v>332</v>
      </c>
      <c r="F263" s="3" t="s">
        <v>333</v>
      </c>
      <c r="G263" s="3" t="n">
        <v>7</v>
      </c>
      <c r="H263" s="3" t="n">
        <v>8.2</v>
      </c>
      <c r="I263" s="3" t="n">
        <v>0.2</v>
      </c>
      <c r="J263" s="4" t="n">
        <v>25</v>
      </c>
      <c r="K263" s="4" t="n">
        <f aca="false">IF(H263&gt;8,8,H263)*J263</f>
        <v>200</v>
      </c>
      <c r="L263" s="4" t="n">
        <f aca="false">I263*J263*1.5</f>
        <v>7.5</v>
      </c>
      <c r="M263" s="4" t="n">
        <f aca="false">K263+L263</f>
        <v>207.5</v>
      </c>
    </row>
    <row r="264" customFormat="false" ht="15" hidden="false" customHeight="false" outlineLevel="0" collapsed="false">
      <c r="A264" s="3" t="s">
        <v>380</v>
      </c>
      <c r="B264" s="3" t="s">
        <v>381</v>
      </c>
      <c r="C264" s="3" t="s">
        <v>382</v>
      </c>
      <c r="D264" s="2" t="n">
        <v>46112</v>
      </c>
      <c r="E264" s="3" t="s">
        <v>255</v>
      </c>
      <c r="F264" s="3" t="s">
        <v>105</v>
      </c>
      <c r="G264" s="3" t="n">
        <v>8</v>
      </c>
      <c r="H264" s="3" t="n">
        <v>9.5</v>
      </c>
      <c r="I264" s="3" t="n">
        <v>1.5</v>
      </c>
      <c r="J264" s="4" t="n">
        <v>25</v>
      </c>
      <c r="K264" s="4" t="n">
        <f aca="false">IF(H264&gt;8,8,H264)*J264</f>
        <v>200</v>
      </c>
      <c r="L264" s="4" t="n">
        <f aca="false">I264*J264*1.5</f>
        <v>56.25</v>
      </c>
      <c r="M264" s="4" t="n">
        <f aca="false">K264+L264</f>
        <v>256.25</v>
      </c>
    </row>
    <row r="265" customFormat="false" ht="15" hidden="false" customHeight="false" outlineLevel="0" collapsed="false">
      <c r="A265" s="3" t="s">
        <v>386</v>
      </c>
      <c r="B265" s="3" t="s">
        <v>387</v>
      </c>
      <c r="C265" s="3" t="s">
        <v>32</v>
      </c>
      <c r="D265" s="2" t="n">
        <v>46082</v>
      </c>
      <c r="E265" s="3" t="s">
        <v>263</v>
      </c>
      <c r="F265" s="3" t="s">
        <v>366</v>
      </c>
      <c r="G265" s="3" t="n">
        <v>8</v>
      </c>
      <c r="H265" s="3" t="n">
        <v>8.3</v>
      </c>
      <c r="I265" s="3" t="n">
        <v>0.3</v>
      </c>
      <c r="J265" s="4" t="n">
        <v>14.5</v>
      </c>
      <c r="K265" s="4" t="n">
        <f aca="false">IF(H265&gt;8,8,H265)*J265</f>
        <v>116</v>
      </c>
      <c r="L265" s="4" t="n">
        <f aca="false">I265*J265*1.5</f>
        <v>6.525</v>
      </c>
      <c r="M265" s="4" t="n">
        <f aca="false">K265+L265</f>
        <v>122.525</v>
      </c>
    </row>
    <row r="266" customFormat="false" ht="15" hidden="false" customHeight="false" outlineLevel="0" collapsed="false">
      <c r="A266" s="3" t="s">
        <v>386</v>
      </c>
      <c r="B266" s="3" t="s">
        <v>387</v>
      </c>
      <c r="C266" s="3" t="s">
        <v>32</v>
      </c>
      <c r="D266" s="2" t="n">
        <v>46084</v>
      </c>
      <c r="E266" s="3" t="s">
        <v>255</v>
      </c>
      <c r="F266" s="3" t="s">
        <v>286</v>
      </c>
      <c r="G266" s="3" t="n">
        <v>8</v>
      </c>
      <c r="H266" s="3" t="n">
        <v>8.7</v>
      </c>
      <c r="I266" s="3" t="n">
        <v>0.7</v>
      </c>
      <c r="J266" s="4" t="n">
        <v>14.5</v>
      </c>
      <c r="K266" s="4" t="n">
        <f aca="false">IF(H266&gt;8,8,H266)*J266</f>
        <v>116</v>
      </c>
      <c r="L266" s="4" t="n">
        <f aca="false">I266*J266*1.5</f>
        <v>15.225</v>
      </c>
      <c r="M266" s="4" t="n">
        <f aca="false">K266+L266</f>
        <v>131.225</v>
      </c>
    </row>
    <row r="267" customFormat="false" ht="15" hidden="false" customHeight="false" outlineLevel="0" collapsed="false">
      <c r="A267" s="3" t="s">
        <v>386</v>
      </c>
      <c r="B267" s="3" t="s">
        <v>387</v>
      </c>
      <c r="C267" s="3" t="s">
        <v>32</v>
      </c>
      <c r="D267" s="2" t="n">
        <v>46085</v>
      </c>
      <c r="E267" s="3" t="s">
        <v>265</v>
      </c>
      <c r="F267" s="3" t="s">
        <v>101</v>
      </c>
      <c r="G267" s="3" t="n">
        <v>8</v>
      </c>
      <c r="H267" s="3" t="n">
        <v>7.5</v>
      </c>
      <c r="I267" s="3" t="n">
        <v>0</v>
      </c>
      <c r="J267" s="4" t="n">
        <v>14.5</v>
      </c>
      <c r="K267" s="4" t="n">
        <f aca="false">IF(H267&gt;8,8,H267)*J267</f>
        <v>108.75</v>
      </c>
      <c r="L267" s="4" t="n">
        <f aca="false">I267*J267*1.5</f>
        <v>0</v>
      </c>
      <c r="M267" s="4" t="n">
        <f aca="false">K267+L267</f>
        <v>108.75</v>
      </c>
    </row>
    <row r="268" customFormat="false" ht="15" hidden="false" customHeight="false" outlineLevel="0" collapsed="false">
      <c r="A268" s="3" t="s">
        <v>386</v>
      </c>
      <c r="B268" s="3" t="s">
        <v>387</v>
      </c>
      <c r="C268" s="3" t="s">
        <v>32</v>
      </c>
      <c r="D268" s="2" t="n">
        <v>46086</v>
      </c>
      <c r="E268" s="3" t="s">
        <v>271</v>
      </c>
      <c r="F268" s="3" t="s">
        <v>366</v>
      </c>
      <c r="G268" s="3" t="n">
        <v>8</v>
      </c>
      <c r="H268" s="3" t="n">
        <v>8.3</v>
      </c>
      <c r="I268" s="3" t="n">
        <v>0.3</v>
      </c>
      <c r="J268" s="4" t="n">
        <v>14.5</v>
      </c>
      <c r="K268" s="4" t="n">
        <f aca="false">IF(H268&gt;8,8,H268)*J268</f>
        <v>116</v>
      </c>
      <c r="L268" s="4" t="n">
        <f aca="false">I268*J268*1.5</f>
        <v>6.525</v>
      </c>
      <c r="M268" s="4" t="n">
        <f aca="false">K268+L268</f>
        <v>122.525</v>
      </c>
    </row>
    <row r="269" customFormat="false" ht="15" hidden="false" customHeight="false" outlineLevel="0" collapsed="false">
      <c r="A269" s="3" t="s">
        <v>386</v>
      </c>
      <c r="B269" s="3" t="s">
        <v>387</v>
      </c>
      <c r="C269" s="3" t="s">
        <v>32</v>
      </c>
      <c r="D269" s="2" t="n">
        <v>46089</v>
      </c>
      <c r="E269" s="3" t="s">
        <v>263</v>
      </c>
      <c r="F269" s="3" t="s">
        <v>288</v>
      </c>
      <c r="G269" s="3" t="n">
        <v>7</v>
      </c>
      <c r="H269" s="3" t="n">
        <v>7.2</v>
      </c>
      <c r="I269" s="3" t="n">
        <v>0</v>
      </c>
      <c r="J269" s="4" t="n">
        <v>14.5</v>
      </c>
      <c r="K269" s="4" t="n">
        <f aca="false">IF(H269&gt;8,8,H269)*J269</f>
        <v>104.4</v>
      </c>
      <c r="L269" s="4" t="n">
        <f aca="false">I269*J269*1.5</f>
        <v>0</v>
      </c>
      <c r="M269" s="4" t="n">
        <f aca="false">K269+L269</f>
        <v>104.4</v>
      </c>
    </row>
    <row r="270" customFormat="false" ht="15" hidden="false" customHeight="false" outlineLevel="0" collapsed="false">
      <c r="A270" s="3" t="s">
        <v>386</v>
      </c>
      <c r="B270" s="3" t="s">
        <v>387</v>
      </c>
      <c r="C270" s="3" t="s">
        <v>32</v>
      </c>
      <c r="D270" s="2" t="n">
        <v>46090</v>
      </c>
      <c r="E270" s="3" t="s">
        <v>271</v>
      </c>
      <c r="F270" s="3" t="s">
        <v>383</v>
      </c>
      <c r="G270" s="3" t="n">
        <v>6</v>
      </c>
      <c r="H270" s="3" t="n">
        <v>5.8</v>
      </c>
      <c r="I270" s="3" t="n">
        <v>0</v>
      </c>
      <c r="J270" s="4" t="n">
        <v>14.5</v>
      </c>
      <c r="K270" s="4" t="n">
        <f aca="false">IF(H270&gt;8,8,H270)*J270</f>
        <v>84.1</v>
      </c>
      <c r="L270" s="4" t="n">
        <f aca="false">I270*J270*1.5</f>
        <v>0</v>
      </c>
      <c r="M270" s="4" t="n">
        <f aca="false">K270+L270</f>
        <v>84.1</v>
      </c>
    </row>
    <row r="271" customFormat="false" ht="15" hidden="false" customHeight="false" outlineLevel="0" collapsed="false">
      <c r="A271" s="3" t="s">
        <v>386</v>
      </c>
      <c r="B271" s="3" t="s">
        <v>387</v>
      </c>
      <c r="C271" s="3" t="s">
        <v>32</v>
      </c>
      <c r="D271" s="2" t="n">
        <v>46091</v>
      </c>
      <c r="E271" s="3" t="s">
        <v>263</v>
      </c>
      <c r="F271" s="3" t="s">
        <v>306</v>
      </c>
      <c r="G271" s="3" t="n">
        <v>6</v>
      </c>
      <c r="H271" s="3" t="n">
        <v>7.1</v>
      </c>
      <c r="I271" s="3" t="n">
        <v>0</v>
      </c>
      <c r="J271" s="4" t="n">
        <v>14.5</v>
      </c>
      <c r="K271" s="4" t="n">
        <f aca="false">IF(H271&gt;8,8,H271)*J271</f>
        <v>102.95</v>
      </c>
      <c r="L271" s="4" t="n">
        <f aca="false">I271*J271*1.5</f>
        <v>0</v>
      </c>
      <c r="M271" s="4" t="n">
        <f aca="false">K271+L271</f>
        <v>102.95</v>
      </c>
    </row>
    <row r="272" customFormat="false" ht="15" hidden="false" customHeight="false" outlineLevel="0" collapsed="false">
      <c r="A272" s="3" t="s">
        <v>386</v>
      </c>
      <c r="B272" s="3" t="s">
        <v>387</v>
      </c>
      <c r="C272" s="3" t="s">
        <v>32</v>
      </c>
      <c r="D272" s="2" t="n">
        <v>46092</v>
      </c>
      <c r="E272" s="3" t="s">
        <v>179</v>
      </c>
      <c r="F272" s="3" t="s">
        <v>388</v>
      </c>
      <c r="G272" s="3" t="n">
        <v>8</v>
      </c>
      <c r="H272" s="3" t="n">
        <v>8.9</v>
      </c>
      <c r="I272" s="3" t="n">
        <v>0.9</v>
      </c>
      <c r="J272" s="4" t="n">
        <v>14.5</v>
      </c>
      <c r="K272" s="4" t="n">
        <f aca="false">IF(H272&gt;8,8,H272)*J272</f>
        <v>116</v>
      </c>
      <c r="L272" s="4" t="n">
        <f aca="false">I272*J272*1.5</f>
        <v>19.575</v>
      </c>
      <c r="M272" s="4" t="n">
        <f aca="false">K272+L272</f>
        <v>135.575</v>
      </c>
    </row>
    <row r="273" customFormat="false" ht="15" hidden="false" customHeight="false" outlineLevel="0" collapsed="false">
      <c r="A273" s="3" t="s">
        <v>386</v>
      </c>
      <c r="B273" s="3" t="s">
        <v>387</v>
      </c>
      <c r="C273" s="3" t="s">
        <v>32</v>
      </c>
      <c r="D273" s="2" t="n">
        <v>46094</v>
      </c>
      <c r="E273" s="3" t="s">
        <v>166</v>
      </c>
      <c r="F273" s="3" t="s">
        <v>389</v>
      </c>
      <c r="G273" s="3" t="n">
        <v>8</v>
      </c>
      <c r="H273" s="3" t="n">
        <v>8.8</v>
      </c>
      <c r="I273" s="3" t="n">
        <v>0.8</v>
      </c>
      <c r="J273" s="4" t="n">
        <v>14.5</v>
      </c>
      <c r="K273" s="4" t="n">
        <f aca="false">IF(H273&gt;8,8,H273)*J273</f>
        <v>116</v>
      </c>
      <c r="L273" s="4" t="n">
        <f aca="false">I273*J273*1.5</f>
        <v>17.4</v>
      </c>
      <c r="M273" s="4" t="n">
        <f aca="false">K273+L273</f>
        <v>133.4</v>
      </c>
    </row>
    <row r="274" customFormat="false" ht="15" hidden="false" customHeight="false" outlineLevel="0" collapsed="false">
      <c r="A274" s="3" t="s">
        <v>386</v>
      </c>
      <c r="B274" s="3" t="s">
        <v>387</v>
      </c>
      <c r="C274" s="3" t="s">
        <v>32</v>
      </c>
      <c r="D274" s="2" t="n">
        <v>46095</v>
      </c>
      <c r="E274" s="3" t="s">
        <v>279</v>
      </c>
      <c r="F274" s="3" t="s">
        <v>390</v>
      </c>
      <c r="G274" s="3" t="n">
        <v>8</v>
      </c>
      <c r="H274" s="3" t="n">
        <v>9.1</v>
      </c>
      <c r="I274" s="3" t="n">
        <v>1.1</v>
      </c>
      <c r="J274" s="4" t="n">
        <v>14.5</v>
      </c>
      <c r="K274" s="4" t="n">
        <f aca="false">IF(H274&gt;8,8,H274)*J274</f>
        <v>116</v>
      </c>
      <c r="L274" s="4" t="n">
        <f aca="false">I274*J274*1.5</f>
        <v>23.925</v>
      </c>
      <c r="M274" s="4" t="n">
        <f aca="false">K274+L274</f>
        <v>139.925</v>
      </c>
    </row>
    <row r="275" customFormat="false" ht="15" hidden="false" customHeight="false" outlineLevel="0" collapsed="false">
      <c r="A275" s="3" t="s">
        <v>386</v>
      </c>
      <c r="B275" s="3" t="s">
        <v>387</v>
      </c>
      <c r="C275" s="3" t="s">
        <v>32</v>
      </c>
      <c r="D275" s="2" t="n">
        <v>46096</v>
      </c>
      <c r="E275" s="3" t="s">
        <v>179</v>
      </c>
      <c r="F275" s="3" t="s">
        <v>323</v>
      </c>
      <c r="G275" s="3" t="n">
        <v>6</v>
      </c>
      <c r="H275" s="3" t="n">
        <v>7.5</v>
      </c>
      <c r="I275" s="3" t="n">
        <v>0</v>
      </c>
      <c r="J275" s="4" t="n">
        <v>14.5</v>
      </c>
      <c r="K275" s="4" t="n">
        <f aca="false">IF(H275&gt;8,8,H275)*J275</f>
        <v>108.75</v>
      </c>
      <c r="L275" s="4" t="n">
        <f aca="false">I275*J275*1.5</f>
        <v>0</v>
      </c>
      <c r="M275" s="4" t="n">
        <f aca="false">K275+L275</f>
        <v>108.75</v>
      </c>
    </row>
    <row r="276" customFormat="false" ht="15" hidden="false" customHeight="false" outlineLevel="0" collapsed="false">
      <c r="A276" s="3" t="s">
        <v>386</v>
      </c>
      <c r="B276" s="3" t="s">
        <v>387</v>
      </c>
      <c r="C276" s="3" t="s">
        <v>32</v>
      </c>
      <c r="D276" s="2" t="n">
        <v>46097</v>
      </c>
      <c r="E276" s="3" t="s">
        <v>265</v>
      </c>
      <c r="F276" s="3" t="s">
        <v>299</v>
      </c>
      <c r="G276" s="3" t="n">
        <v>6</v>
      </c>
      <c r="H276" s="3" t="n">
        <v>6.3</v>
      </c>
      <c r="I276" s="3" t="n">
        <v>0</v>
      </c>
      <c r="J276" s="4" t="n">
        <v>14.5</v>
      </c>
      <c r="K276" s="4" t="n">
        <f aca="false">IF(H276&gt;8,8,H276)*J276</f>
        <v>91.35</v>
      </c>
      <c r="L276" s="4" t="n">
        <f aca="false">I276*J276*1.5</f>
        <v>0</v>
      </c>
      <c r="M276" s="4" t="n">
        <f aca="false">K276+L276</f>
        <v>91.35</v>
      </c>
    </row>
    <row r="277" customFormat="false" ht="15" hidden="false" customHeight="false" outlineLevel="0" collapsed="false">
      <c r="A277" s="3" t="s">
        <v>386</v>
      </c>
      <c r="B277" s="3" t="s">
        <v>387</v>
      </c>
      <c r="C277" s="3" t="s">
        <v>32</v>
      </c>
      <c r="D277" s="2" t="n">
        <v>46099</v>
      </c>
      <c r="E277" s="3" t="s">
        <v>263</v>
      </c>
      <c r="F277" s="3" t="s">
        <v>251</v>
      </c>
      <c r="G277" s="3" t="n">
        <v>7</v>
      </c>
      <c r="H277" s="3" t="n">
        <v>7.5</v>
      </c>
      <c r="I277" s="3" t="n">
        <v>0</v>
      </c>
      <c r="J277" s="4" t="n">
        <v>14.5</v>
      </c>
      <c r="K277" s="4" t="n">
        <f aca="false">IF(H277&gt;8,8,H277)*J277</f>
        <v>108.75</v>
      </c>
      <c r="L277" s="4" t="n">
        <f aca="false">I277*J277*1.5</f>
        <v>0</v>
      </c>
      <c r="M277" s="4" t="n">
        <f aca="false">K277+L277</f>
        <v>108.75</v>
      </c>
    </row>
    <row r="278" customFormat="false" ht="15" hidden="false" customHeight="false" outlineLevel="0" collapsed="false">
      <c r="A278" s="3" t="s">
        <v>386</v>
      </c>
      <c r="B278" s="3" t="s">
        <v>387</v>
      </c>
      <c r="C278" s="3" t="s">
        <v>32</v>
      </c>
      <c r="D278" s="2" t="n">
        <v>46100</v>
      </c>
      <c r="E278" s="3" t="s">
        <v>271</v>
      </c>
      <c r="F278" s="3" t="s">
        <v>316</v>
      </c>
      <c r="G278" s="3" t="n">
        <v>8</v>
      </c>
      <c r="H278" s="3" t="n">
        <v>8.9</v>
      </c>
      <c r="I278" s="3" t="n">
        <v>0.9</v>
      </c>
      <c r="J278" s="4" t="n">
        <v>14.5</v>
      </c>
      <c r="K278" s="4" t="n">
        <f aca="false">IF(H278&gt;8,8,H278)*J278</f>
        <v>116</v>
      </c>
      <c r="L278" s="4" t="n">
        <f aca="false">I278*J278*1.5</f>
        <v>19.575</v>
      </c>
      <c r="M278" s="4" t="n">
        <f aca="false">K278+L278</f>
        <v>135.575</v>
      </c>
    </row>
    <row r="279" customFormat="false" ht="15" hidden="false" customHeight="false" outlineLevel="0" collapsed="false">
      <c r="A279" s="3" t="s">
        <v>386</v>
      </c>
      <c r="B279" s="3" t="s">
        <v>387</v>
      </c>
      <c r="C279" s="3" t="s">
        <v>32</v>
      </c>
      <c r="D279" s="2" t="n">
        <v>46101</v>
      </c>
      <c r="E279" s="3" t="s">
        <v>271</v>
      </c>
      <c r="F279" s="3" t="s">
        <v>269</v>
      </c>
      <c r="G279" s="3" t="n">
        <v>8</v>
      </c>
      <c r="H279" s="3" t="n">
        <v>8.6</v>
      </c>
      <c r="I279" s="3" t="n">
        <v>0.6</v>
      </c>
      <c r="J279" s="4" t="n">
        <v>14.5</v>
      </c>
      <c r="K279" s="4" t="n">
        <f aca="false">IF(H279&gt;8,8,H279)*J279</f>
        <v>116</v>
      </c>
      <c r="L279" s="4" t="n">
        <f aca="false">I279*J279*1.5</f>
        <v>13.05</v>
      </c>
      <c r="M279" s="4" t="n">
        <f aca="false">K279+L279</f>
        <v>129.05</v>
      </c>
    </row>
    <row r="280" customFormat="false" ht="15" hidden="false" customHeight="false" outlineLevel="0" collapsed="false">
      <c r="A280" s="3" t="s">
        <v>386</v>
      </c>
      <c r="B280" s="3" t="s">
        <v>387</v>
      </c>
      <c r="C280" s="3" t="s">
        <v>32</v>
      </c>
      <c r="D280" s="2" t="n">
        <v>46104</v>
      </c>
      <c r="E280" s="3" t="s">
        <v>253</v>
      </c>
      <c r="F280" s="3" t="s">
        <v>321</v>
      </c>
      <c r="G280" s="3" t="n">
        <v>7</v>
      </c>
      <c r="H280" s="3" t="n">
        <v>8.2</v>
      </c>
      <c r="I280" s="3" t="n">
        <v>0.2</v>
      </c>
      <c r="J280" s="4" t="n">
        <v>14.5</v>
      </c>
      <c r="K280" s="4" t="n">
        <f aca="false">IF(H280&gt;8,8,H280)*J280</f>
        <v>116</v>
      </c>
      <c r="L280" s="4" t="n">
        <f aca="false">I280*J280*1.5</f>
        <v>4.35</v>
      </c>
      <c r="M280" s="4" t="n">
        <f aca="false">K280+L280</f>
        <v>120.35</v>
      </c>
    </row>
    <row r="281" customFormat="false" ht="15" hidden="false" customHeight="false" outlineLevel="0" collapsed="false">
      <c r="A281" s="3" t="s">
        <v>386</v>
      </c>
      <c r="B281" s="3" t="s">
        <v>387</v>
      </c>
      <c r="C281" s="3" t="s">
        <v>32</v>
      </c>
      <c r="D281" s="2" t="n">
        <v>46105</v>
      </c>
      <c r="E281" s="3" t="s">
        <v>263</v>
      </c>
      <c r="F281" s="3" t="s">
        <v>264</v>
      </c>
      <c r="G281" s="3" t="n">
        <v>8</v>
      </c>
      <c r="H281" s="3" t="n">
        <v>8.2</v>
      </c>
      <c r="I281" s="3" t="n">
        <v>0.2</v>
      </c>
      <c r="J281" s="4" t="n">
        <v>14.5</v>
      </c>
      <c r="K281" s="4" t="n">
        <f aca="false">IF(H281&gt;8,8,H281)*J281</f>
        <v>116</v>
      </c>
      <c r="L281" s="4" t="n">
        <f aca="false">I281*J281*1.5</f>
        <v>4.35</v>
      </c>
      <c r="M281" s="4" t="n">
        <f aca="false">K281+L281</f>
        <v>120.35</v>
      </c>
    </row>
    <row r="282" customFormat="false" ht="15" hidden="false" customHeight="false" outlineLevel="0" collapsed="false">
      <c r="A282" s="3" t="s">
        <v>386</v>
      </c>
      <c r="B282" s="3" t="s">
        <v>387</v>
      </c>
      <c r="C282" s="3" t="s">
        <v>32</v>
      </c>
      <c r="D282" s="2" t="n">
        <v>46106</v>
      </c>
      <c r="E282" s="3" t="s">
        <v>253</v>
      </c>
      <c r="F282" s="3" t="s">
        <v>259</v>
      </c>
      <c r="G282" s="3" t="n">
        <v>7</v>
      </c>
      <c r="H282" s="3" t="n">
        <v>6.8</v>
      </c>
      <c r="I282" s="3" t="n">
        <v>0</v>
      </c>
      <c r="J282" s="4" t="n">
        <v>14.5</v>
      </c>
      <c r="K282" s="4" t="n">
        <f aca="false">IF(H282&gt;8,8,H282)*J282</f>
        <v>98.6</v>
      </c>
      <c r="L282" s="4" t="n">
        <f aca="false">I282*J282*1.5</f>
        <v>0</v>
      </c>
      <c r="M282" s="4" t="n">
        <f aca="false">K282+L282</f>
        <v>98.6</v>
      </c>
    </row>
    <row r="283" customFormat="false" ht="15" hidden="false" customHeight="false" outlineLevel="0" collapsed="false">
      <c r="A283" s="3" t="s">
        <v>386</v>
      </c>
      <c r="B283" s="3" t="s">
        <v>387</v>
      </c>
      <c r="C283" s="3" t="s">
        <v>32</v>
      </c>
      <c r="D283" s="2" t="n">
        <v>46108</v>
      </c>
      <c r="E283" s="3" t="s">
        <v>279</v>
      </c>
      <c r="F283" s="3" t="s">
        <v>204</v>
      </c>
      <c r="G283" s="3" t="n">
        <v>8</v>
      </c>
      <c r="H283" s="3" t="n">
        <v>9.5</v>
      </c>
      <c r="I283" s="3" t="n">
        <v>1.5</v>
      </c>
      <c r="J283" s="4" t="n">
        <v>14.5</v>
      </c>
      <c r="K283" s="4" t="n">
        <f aca="false">IF(H283&gt;8,8,H283)*J283</f>
        <v>116</v>
      </c>
      <c r="L283" s="4" t="n">
        <f aca="false">I283*J283*1.5</f>
        <v>32.625</v>
      </c>
      <c r="M283" s="4" t="n">
        <f aca="false">K283+L283</f>
        <v>148.625</v>
      </c>
    </row>
    <row r="284" customFormat="false" ht="15" hidden="false" customHeight="false" outlineLevel="0" collapsed="false">
      <c r="A284" s="3" t="s">
        <v>386</v>
      </c>
      <c r="B284" s="3" t="s">
        <v>387</v>
      </c>
      <c r="C284" s="3" t="s">
        <v>32</v>
      </c>
      <c r="D284" s="2" t="n">
        <v>46112</v>
      </c>
      <c r="E284" s="3" t="s">
        <v>271</v>
      </c>
      <c r="F284" s="3" t="s">
        <v>391</v>
      </c>
      <c r="G284" s="3" t="n">
        <v>7</v>
      </c>
      <c r="H284" s="3" t="n">
        <v>8.1</v>
      </c>
      <c r="I284" s="3" t="n">
        <v>0.1</v>
      </c>
      <c r="J284" s="4" t="n">
        <v>14.5</v>
      </c>
      <c r="K284" s="4" t="n">
        <f aca="false">IF(H284&gt;8,8,H284)*J284</f>
        <v>116</v>
      </c>
      <c r="L284" s="4" t="n">
        <f aca="false">I284*J284*1.5</f>
        <v>2.175</v>
      </c>
      <c r="M284" s="4" t="n">
        <f aca="false">K284+L284</f>
        <v>118.175</v>
      </c>
    </row>
    <row r="285" customFormat="false" ht="15" hidden="false" customHeight="false" outlineLevel="0" collapsed="false">
      <c r="A285" s="22"/>
      <c r="B285" s="22"/>
      <c r="C285" s="22"/>
      <c r="D285" s="22"/>
      <c r="E285" s="22"/>
      <c r="F285" s="22" t="s">
        <v>20</v>
      </c>
      <c r="G285" s="22" t="n">
        <f aca="false">SUM(G2:G284)</f>
        <v>1988</v>
      </c>
      <c r="H285" s="22" t="n">
        <f aca="false">SUM(H2:H284)</f>
        <v>2147.6</v>
      </c>
      <c r="I285" s="22" t="n">
        <f aca="false">SUM(I2:I284)</f>
        <v>90.5</v>
      </c>
      <c r="J285" s="22"/>
      <c r="K285" s="23" t="n">
        <f aca="false">SUM(K2:K284)</f>
        <v>33419.575</v>
      </c>
      <c r="L285" s="23" t="n">
        <f aca="false">SUM(L2:L284)</f>
        <v>2235.0375</v>
      </c>
      <c r="M285" s="23" t="n">
        <f aca="false">SUM(M2:M284)</f>
        <v>35654.6125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2026-03-31T22:37:47Z</dcterms:created>
  <dc:creator>openpyxl</dc:creator>
  <dc:description/>
  <dc:language>en-US</dc:language>
  <cp:lastModifiedBy/>
  <dcterms:modified xsi:type="dcterms:W3CDTF">2026-03-31T22:37:47Z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